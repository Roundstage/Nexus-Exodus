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f6e1b07f0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0f66c2750f4d45"/>
    <x:sheet xmlns:r="http://schemas.openxmlformats.org/officeDocument/2006/relationships" name="Settings" sheetId="2" r:id="R888beea101e7404e"/>
    <x:sheet xmlns:r="http://schemas.openxmlformats.org/officeDocument/2006/relationships" name="Combatants" sheetId="3" r:id="R91394c12bc9643a1"/>
    <x:sheet xmlns:r="http://schemas.openxmlformats.org/officeDocument/2006/relationships" name="BP Pipeline" sheetId="4" r:id="Rde56ebe3401a4469"/>
    <x:sheet xmlns:r="http://schemas.openxmlformats.org/officeDocument/2006/relationships" name="Race Profiles" sheetId="5" r:id="R8f800c68a4364f7e"/>
    <x:sheet xmlns:r="http://schemas.openxmlformats.org/officeDocument/2006/relationships" name="Race Balance" sheetId="6" r:id="R61b624917059487d"/>
    <x:sheet xmlns:r="http://schemas.openxmlformats.org/officeDocument/2006/relationships" name="Progression Balance" sheetId="7" r:id="R3bfb8a8470f34219"/>
    <x:sheet xmlns:r="http://schemas.openxmlformats.org/officeDocument/2006/relationships" name="Modifiers" sheetId="8" r:id="R419605269e2e4dde"/>
    <x:sheet xmlns:r="http://schemas.openxmlformats.org/officeDocument/2006/relationships" name="Skill Catalog" sheetId="9" r:id="R2ed39e6f30994711"/>
    <x:sheet xmlns:r="http://schemas.openxmlformats.org/officeDocument/2006/relationships" name="Damage Calculator" sheetId="10" r:id="Rbd42ef8360934876"/>
    <x:sheet xmlns:r="http://schemas.openxmlformats.org/officeDocument/2006/relationships" name="Validation" sheetId="11" r:id="Red2e49ccd6c34741"/>
    <x:sheet xmlns:r="http://schemas.openxmlformats.org/officeDocument/2006/relationships" name="Sources" sheetId="12" r:id="Re36f9e793323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0"/>
      <x:name val="Aptos"/>
    </x:font>
    <x:font>
      <x:b/>
      <x:sz val="10"/>
      <x:color rgb="FFFFFFFF"/>
      <x:name val="Aptos"/>
    </x:font>
    <x:font>
      <x:b/>
      <x:sz val="14"/>
      <x:color rgb="FFFFFFFF"/>
      <x:name val="Aptos Display"/>
    </x:font>
    <x:font>
      <x:b/>
      <x:sz val="10"/>
      <x:color rgb="FF16324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FFE7A3"/>
      </x:patternFill>
    </x:fill>
    <x:fill>
      <x:patternFill patternType="solid">
        <x:fgColor rgb="FFDFF3E4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7">
    <x:xf numFmtId="0" fontId="0" fillId="0" borderId="1" xfId="0">
      <x:alignment vertical="top"/>
    </x:xf>
    <x:xf numFmtId="0" fontId="1" fillId="2" borderId="1" xfId="0" applyFont="1" applyFill="1">
      <x:alignment vertical="center" wrapText="1"/>
    </x:xf>
    <x:xf numFmtId="0" fontId="2" fillId="2" borderId="1" xfId="0" applyFont="1" applyFill="1">
      <x:alignment vertical="center" wrapText="1"/>
    </x:xf>
    <x:xf numFmtId="0" fontId="3" fillId="3" borderId="1" xfId="0" applyFill="1">
      <x:alignment vertical="top"/>
    </x:xf>
    <x:xf numFmtId="0" fontId="3" fillId="4" borderId="1" xfId="0" applyFill="1">
      <x:alignment vertical="top"/>
    </x:xf>
    <x:xf numFmtId="0" fontId="0" fillId="0" borderId="1" xfId="0">
      <x:alignment vertical="top" wrapText="1"/>
    </x:xf>
    <x:xf numFmtId="0" fontId="3" fillId="5" borderId="1" xfId="0" applyFill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32c7a4d994ec1" /><Relationship Type="http://schemas.openxmlformats.org/officeDocument/2006/relationships/theme" Target="/xl/theme/theme1.xml" Id="R016ac5030af74d3b" /><Relationship Type="http://schemas.openxmlformats.org/officeDocument/2006/relationships/sharedStrings" Target="/xl/sharedStrings.xml" Id="R4243a66a1e0147eb" /><Relationship Type="http://schemas.openxmlformats.org/officeDocument/2006/relationships/worksheet" Target="/xl/worksheets/sheet1.xml" Id="R910f66c2750f4d45" /><Relationship Type="http://schemas.openxmlformats.org/officeDocument/2006/relationships/worksheet" Target="/xl/worksheets/sheet2.xml" Id="R888beea101e7404e" /><Relationship Type="http://schemas.openxmlformats.org/officeDocument/2006/relationships/worksheet" Target="/xl/worksheets/sheet3.xml" Id="R91394c12bc9643a1" /><Relationship Type="http://schemas.openxmlformats.org/officeDocument/2006/relationships/worksheet" Target="/xl/worksheets/sheet4.xml" Id="Rde56ebe3401a4469" /><Relationship Type="http://schemas.openxmlformats.org/officeDocument/2006/relationships/worksheet" Target="/xl/worksheets/sheet5.xml" Id="R8f800c68a4364f7e" /><Relationship Type="http://schemas.openxmlformats.org/officeDocument/2006/relationships/worksheet" Target="/xl/worksheets/sheet6.xml" Id="R61b624917059487d" /><Relationship Type="http://schemas.openxmlformats.org/officeDocument/2006/relationships/worksheet" Target="/xl/worksheets/sheet7.xml" Id="R3bfb8a8470f34219" /><Relationship Type="http://schemas.openxmlformats.org/officeDocument/2006/relationships/worksheet" Target="/xl/worksheets/sheet8.xml" Id="R419605269e2e4dde" /><Relationship Type="http://schemas.openxmlformats.org/officeDocument/2006/relationships/worksheet" Target="/xl/worksheets/sheet9.xml" Id="R2ed39e6f30994711" /><Relationship Type="http://schemas.openxmlformats.org/officeDocument/2006/relationships/worksheet" Target="/xl/worksheets/sheet10.xml" Id="Rbd42ef8360934876" /><Relationship Type="http://schemas.openxmlformats.org/officeDocument/2006/relationships/worksheet" Target="/xl/worksheets/sheet11.xml" Id="Red2e49ccd6c34741" /><Relationship Type="http://schemas.openxmlformats.org/officeDocument/2006/relationships/worksheet" Target="/xl/worksheets/sheet12.xml" Id="Re36f9e7933234f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customWidth="1"/>
    <x:col min="2" max="2" width="110" customWidth="1"/>
    <x:col min="3" max="3" width="30" customWidth="1"/>
  </x:cols>
  <x:sheetData>
    <x:row r="1">
      <x:c r="A1" s="2" t="inlineStr">
        <x:is>
          <x:t xml:space="preserve">Nexus Exodus Skill Damage Balance</x:t>
        </x:is>
      </x:c>
      <x:c r="B1" s="2" t="inlineStr">
        <x:is>
          <x:t xml:space="preserve">Code-backed workbook generated from the current combat implementation.</x:t>
        </x:is>
      </x:c>
    </x:row>
    <x:row r="2">
      <x:c r="A2" s="1" t="inlineStr">
        <x:is>
          <x:t xml:space="preserve">Section</x:t>
        </x:is>
      </x:c>
      <x:c r="B2" s="1" t="inlineStr">
        <x:is>
          <x:t xml:space="preserve">Details</x:t>
        </x:is>
      </x:c>
      <x:c r="C2" s="1" t="inlineStr">
        <x:is>
          <x:t xml:space="preserve">Primary source</x:t>
        </x:is>
      </x:c>
    </x:row>
    <x:row r="3">
      <x:c r="A3" s="6" t="inlineStr">
        <x:is>
          <x:t xml:space="preserve">Purpose</x:t>
        </x:is>
      </x:c>
      <x:c r="B3" s="5" t="inlineStr">
        <x:is>
          <x:t xml:space="preserve">Compare current skill damage under repeatable attacker/defender scenarios. Yellow cells are scenario inputs; green cells are formulas.</x:t>
        </x:is>
      </x:c>
      <x:c r="C3" s="5" t="inlineStr">
        <x:is>
          <x:t xml:space="preserve">Repository combat code</x:t>
        </x:is>
      </x:c>
    </x:row>
    <x:row r="4">
      <x:c r="A4" s="6" t="inlineStr">
        <x:is>
          <x:t xml:space="preserve">Scope</x:t>
        </x:is>
      </x:c>
      <x:c r="B4" s="5" t="inlineStr">
        <x:is>
          <x:t xml:space="preserve">Includes standard melee, special melee, rocks, projectiles, beams, custom AoE/execution skills, race profiles, modules, powerup, anger, cyber BP and transformations.</x:t>
        </x:is>
      </x:c>
      <x:c r="C4" s="5" t="inlineStr">
        <x:is>
          <x:t xml:space="preserve">Skill Catalog and Modifiers sheets</x:t>
        </x:is>
      </x:c>
    </x:row>
    <x:row r="5">
      <x:c r="A5" s="6" t="inlineStr">
        <x:is>
          <x:t xml:space="preserve">Damage basis</x:t>
        </x:is>
      </x:c>
      <x:c r="B5" s="5" t="inlineStr">
        <x:is>
          <x:t xml:space="preserve">Factors are equal-stat percentages. Physical damage uses Strength/Endurance; Ki uses Force/Resistance; both use BP^0.5 and the bounded stat term (2*source/(source+guard))^0.85. Offense/Defense affect hit outcomes only.</x:t>
        </x:is>
      </x:c>
      <x:c r="C5" s="5" t="inlineStr">
        <x:is>
          <x:t xml:space="preserve">Combat/DamageScaling.dm</x:t>
        </x:is>
      </x:c>
    </x:row>
    <x:row r="6">
      <x:c r="A6" s="6" t="inlineStr">
        <x:is>
          <x:t xml:space="preserve">BP pipeline</x:t>
        </x:is>
      </x:c>
      <x:c r="B6" s="5" t="inlineStr">
        <x:is>
          <x:t xml:space="preserve">The BP Pipeline sheet exposes the major ordering stages. The game has additional situational branches; use current Effective BP in Combatants when exact runtime BP is known.</x:t>
        </x:is>
      </x:c>
      <x:c r="C6" s="5" t="inlineStr">
        <x:is>
          <x:t xml:space="preserve">BackgroundCode/StatLoop.dm:95-242</x:t>
        </x:is>
      </x:c>
    </x:row>
    <x:row r="7">
      <x:c r="A7" s="6" t="inlineStr">
        <x:is>
          <x:t xml:space="preserve">Powerup and anger</x:t>
        </x:is>
      </x:c>
      <x:c r="B7" s="5" t="inlineStr">
        <x:is>
          <x:t xml:space="preserve">Current mixture is additive: anger/100 + BPpcnt/100 - 1 + Super Kaioken addition. It is not anger multiplied by powerup.</x:t>
        </x:is>
      </x:c>
      <x:c r="C7" s="5" t="inlineStr">
        <x:is>
          <x:t xml:space="preserve">BackgroundCode/StatLoop.dm:25-49</x:t>
        </x:is>
      </x:c>
    </x:row>
    <x:row r="8">
      <x:c r="A8" s="6" t="inlineStr">
        <x:is>
          <x:t xml:space="preserve">Cyber BP</x:t>
        </x:is>
      </x:c>
      <x:c r="B8" s="5" t="inlineStr">
        <x:is>
          <x:t xml:space="preserve">With current cyber_bp_cuts_natural_bp_by=0, any cyber BP replaces natural BP before cyber contribution is added. Overdrive multiplies cyber contribution by 1.5.</x:t>
        </x:is>
      </x:c>
      <x:c r="C8" s="5" t="inlineStr">
        <x:is>
          <x:t xml:space="preserve">BackgroundCode/StatLoop.dm:183-193</x:t>
        </x:is>
      </x:c>
    </x:row>
    <x:row r="9">
      <x:c r="A9" s="6" t="inlineStr">
        <x:is>
          <x:t xml:space="preserve">Ki speed</x:t>
        </x:is>
      </x:c>
      <x:c r="B9" s="5" t="inlineStr">
        <x:is>
          <x:t xml:space="preserve">Non-beam Ki projectiles use a 0.5 decisecond cadence at 60 FPS. Beam and Spirit Bomb delays remain skill-specific.</x:t>
        </x:is>
      </x:c>
      <x:c r="C9" s="5" t="inlineStr">
        <x:is>
          <x:t xml:space="preserve">ProjectileSystem/Blasts.dm; SkillControllers.dm</x:t>
        </x:is>
      </x:c>
    </x:row>
    <x:row r="10">
      <x:c r="A10" s="6" t="inlineStr">
        <x:is>
          <x:t xml:space="preserve">Usage</x:t>
        </x:is>
      </x:c>
      <x:c r="B10" s="5" t="inlineStr">
        <x:is>
          <x:t xml:space="preserve">1. Set Combatants inputs. 2. Adjust BP Pipeline and copy its result if needed. 3. Review standardized skills in Damage Calculator. 4. Use Skill Catalog for custom formulas and timing.</x:t>
        </x:is>
      </x:c>
      <x:c r="C10" s="5" t="inlineStr">
        <x:is>
          <x:t xml:space="preserve">This workbook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customWidth="1"/>
    <x:col min="2" max="2" width="18" customWidth="1"/>
    <x:col min="3" max="3" width="22" customWidth="1"/>
    <x:col min="4" max="4" width="72" customWidth="1"/>
  </x:cols>
  <x:sheetData>
    <x:row r="1">
      <x:c r="A1" s="2" t="inlineStr">
        <x:is>
          <x:t xml:space="preserve">Combat Constants</x:t>
        </x:is>
      </x:c>
      <x:c r="B1" s="2" t="inlineStr">
        <x:is>
          <x:t xml:space="preserve">Value</x:t>
        </x:is>
      </x:c>
      <x:c r="C1" s="2" t="inlineStr">
        <x:is>
          <x:t xml:space="preserve">Unit</x:t>
        </x:is>
      </x:c>
      <x:c r="D1" s="2" t="inlineStr">
        <x:is>
          <x:t xml:space="preserve">Source</x:t>
        </x:is>
      </x:c>
    </x:row>
    <x:row r="2">
      <x:c r="A2" s="1" t="inlineStr">
        <x:is>
          <x:t xml:space="preserve">Constant</x:t>
        </x:is>
      </x:c>
      <x:c r="B2" s="1" t="inlineStr">
        <x:is>
          <x:t xml:space="preserve">Code default</x:t>
        </x:is>
      </x:c>
      <x:c r="C2" s="1" t="inlineStr">
        <x:is>
          <x:t xml:space="preserve">Meaning</x:t>
        </x:is>
      </x:c>
      <x:c r="D2" s="1" t="inlineStr">
        <x:is>
          <x:t xml:space="preserve">Source</x:t>
        </x:is>
      </x:c>
    </x:row>
    <x:row r="3">
      <x:c r="A3" t="inlineStr">
        <x:is>
          <x:t xml:space="preserve">Base melee damage</x:t>
        </x:is>
      </x:c>
      <x:c r="B3" s="3">
        <x:v>2.5</x:v>
      </x:c>
      <x:c r="C3" t="inlineStr">
        <x:is>
          <x:t xml:space="preserve">damage</x:t>
        </x:is>
      </x:c>
      <x:c r="D3" s="5" t="inlineStr">
        <x:is>
          <x:t xml:space="preserve">GlobalCombatSettings.dm</x:t>
        </x:is>
      </x:c>
    </x:row>
    <x:row r="4">
      <x:c r="A4" t="inlineStr">
        <x:is>
          <x:t xml:space="preserve">Melee power</x:t>
        </x:is>
      </x:c>
      <x:c r="B4" s="3">
        <x:v>1</x:v>
      </x:c>
      <x:c r="C4" t="inlineStr">
        <x:is>
          <x:t xml:space="preserve">multiplier</x:t>
        </x:is>
      </x:c>
      <x:c r="D4" s="5" t="inlineStr">
        <x:is>
          <x:t xml:space="preserve">GlobalCombatSettings.dm</x:t>
        </x:is>
      </x:c>
    </x:row>
    <x:row r="5">
      <x:c r="A5" t="inlineStr">
        <x:is>
          <x:t xml:space="preserve">Ki power</x:t>
        </x:is>
      </x:c>
      <x:c r="B5" s="3">
        <x:v>1</x:v>
      </x:c>
      <x:c r="C5" t="inlineStr">
        <x:is>
          <x:t xml:space="preserve">multiplier</x:t>
        </x:is>
      </x:c>
      <x:c r="D5" s="5" t="inlineStr">
        <x:is>
          <x:t xml:space="preserve">GlobalCombatSettings.dm</x:t>
        </x:is>
      </x:c>
    </x:row>
    <x:row r="6">
      <x:c r="A6" t="inlineStr">
        <x:is>
          <x:t xml:space="preserve">BP exponent</x:t>
        </x:is>
      </x:c>
      <x:c r="B6" s="3">
        <x:v>0.5</x:v>
      </x:c>
      <x:c r="C6" t="inlineStr">
        <x:is>
          <x:t xml:space="preserve">ratio exponent</x:t>
        </x:is>
      </x:c>
      <x:c r="D6" s="5" t="inlineStr">
        <x:is>
          <x:t xml:space="preserve">GlobalCombatSettings.dm:52</x:t>
        </x:is>
      </x:c>
    </x:row>
    <x:row r="7">
      <x:c r="A7" t="inlineStr">
        <x:is>
          <x:t xml:space="preserve">Combat stat exponent</x:t>
        </x:is>
      </x:c>
      <x:c r="B7" s="3">
        <x:v>0.85</x:v>
      </x:c>
      <x:c r="C7" t="inlineStr">
        <x:is>
          <x:t xml:space="preserve">bounded ratio exponent</x:t>
        </x:is>
      </x:c>
      <x:c r="D7" s="5" t="inlineStr">
        <x:is>
          <x:t xml:space="preserve">Combat/DamageScaling.dm</x:t>
        </x:is>
      </x:c>
    </x:row>
    <x:row r="8">
      <x:c r="A8" t="inlineStr">
        <x:is>
          <x:t xml:space="preserve">Legacy Strength exponent</x:t>
        </x:is>
      </x:c>
      <x:c r="B8" s="3">
        <x:v>0.45</x:v>
      </x:c>
      <x:c r="C8" t="inlineStr">
        <x:is>
          <x:t xml:space="preserve">unused by balanced damage</x:t>
        </x:is>
      </x:c>
      <x:c r="D8" s="5" t="inlineStr">
        <x:is>
          <x:t xml:space="preserve">GlobalCombatSettings.dm</x:t>
        </x:is>
      </x:c>
    </x:row>
    <x:row r="9">
      <x:c r="A9" t="inlineStr">
        <x:is>
          <x:t xml:space="preserve">Legacy Force exponent</x:t>
        </x:is>
      </x:c>
      <x:c r="B9" s="3">
        <x:v>0.7</x:v>
      </x:c>
      <x:c r="C9" t="inlineStr">
        <x:is>
          <x:t xml:space="preserve">unused by balanced damage</x:t>
        </x:is>
      </x:c>
      <x:c r="D9" s="5" t="inlineStr">
        <x:is>
          <x:t xml:space="preserve">GlobalCombatSettings.dm</x:t>
        </x:is>
      </x:c>
    </x:row>
    <x:row r="10">
      <x:c r="A10" t="inlineStr">
        <x:is>
          <x:t xml:space="preserve">Legacy inferior Force exponent</x:t>
        </x:is>
      </x:c>
      <x:c r="B10" s="3">
        <x:v>0.45</x:v>
      </x:c>
      <x:c r="C10" t="inlineStr">
        <x:is>
          <x:t xml:space="preserve">unused by balanced damage</x:t>
        </x:is>
      </x:c>
      <x:c r="D10" s="5" t="inlineStr">
        <x:is>
          <x:t xml:space="preserve">GlobalCombatSettings.dm</x:t>
        </x:is>
      </x:c>
    </x:row>
    <x:row r="11">
      <x:c r="A11" t="inlineStr">
        <x:is>
          <x:t xml:space="preserve">Off/Def damage term</x:t>
        </x:is>
      </x:c>
      <x:c r="B11" s="3">
        <x:v>1</x:v>
      </x:c>
      <x:c r="C11" t="inlineStr">
        <x:is>
          <x:t xml:space="preserve">accuracy only</x:t>
        </x:is>
      </x:c>
      <x:c r="D11" s="5" t="inlineStr">
        <x:is>
          <x:t xml:space="preserve">Combat/DamageScaling.dm</x:t>
        </x:is>
      </x:c>
    </x:row>
    <x:row r="12">
      <x:c r="A12" t="inlineStr">
        <x:is>
          <x:t xml:space="preserve">Damage budget enabled</x:t>
        </x:is>
      </x:c>
      <x:c r="B12" s="3">
        <x:v>1</x:v>
      </x:c>
      <x:c r="C12" t="inlineStr">
        <x:is>
          <x:t xml:space="preserve">boolean</x:t>
        </x:is>
      </x:c>
      <x:c r="D12" s="5" t="inlineStr">
        <x:is>
          <x:t xml:space="preserve">Combat/DamageScaling.dm</x:t>
        </x:is>
      </x:c>
    </x:row>
    <x:row r="13">
      <x:c r="A13" t="inlineStr">
        <x:is>
          <x:t xml:space="preserve">Critical damage multiplier</x:t>
        </x:is>
      </x:c>
      <x:c r="B13" s="3">
        <x:v>1.25</x:v>
      </x:c>
      <x:c r="C13" t="inlineStr">
        <x:is>
          <x:t xml:space="preserve">manual melee multiplier</x:t>
        </x:is>
      </x:c>
      <x:c r="D13" s="5" t="inlineStr">
        <x:is>
          <x:t xml:space="preserve">Combat/Melee.dm</x:t>
        </x:is>
      </x:c>
    </x:row>
    <x:row r="14">
      <x:c r="A14" t="inlineStr">
        <x:is>
          <x:t xml:space="preserve">Raw beam damage window</x:t>
        </x:is>
      </x:c>
      <x:c r="B14" s="3">
        <x:v>3</x:v>
      </x:c>
      <x:c r="C14" t="inlineStr">
        <x:is>
          <x:t xml:space="preserve">damage windows</x:t>
        </x:is>
      </x:c>
      <x:c r="D14" s="5" t="inlineStr">
        <x:is>
          <x:t xml:space="preserve">ProjectileSystem/BeamCore.dm</x:t>
        </x:is>
      </x:c>
    </x:row>
    <x:row r="15">
      <x:c r="A15" t="inlineStr">
        <x:is>
          <x:t xml:space="preserve">Beam leading multiplier</x:t>
        </x:is>
      </x:c>
      <x:c r="B15" s="3">
        <x:v>0.85</x:v>
      </x:c>
      <x:c r="C15" t="inlineStr">
        <x:is>
          <x:t xml:space="preserve">multiplier</x:t>
        </x:is>
      </x:c>
      <x:c r="D15" s="5" t="inlineStr">
        <x:is>
          <x:t xml:space="preserve">ProjectileSystem/Projectiles.dm</x:t>
        </x:is>
      </x:c>
    </x:row>
    <x:row r="16">
      <x:c r="A16" t="inlineStr">
        <x:is>
          <x:t xml:space="preserve">Beam post-force multiplier</x:t>
        </x:is>
      </x:c>
      <x:c r="B16" s="3">
        <x:v>0.6</x:v>
      </x:c>
      <x:c r="C16" t="inlineStr">
        <x:is>
          <x:t xml:space="preserve">multiplier</x:t>
        </x:is>
      </x:c>
      <x:c r="D16" s="5" t="inlineStr">
        <x:is>
          <x:t xml:space="preserve">ProjectileSystem/Projectiles.dm</x:t>
        </x:is>
      </x:c>
    </x:row>
    <x:row r="17">
      <x:c r="A17" t="inlineStr">
        <x:is>
          <x:t xml:space="preserve">Owner resistance penalty</x:t>
        </x:is>
      </x:c>
      <x:c r="B17" s="3">
        <x:v>1</x:v>
      </x:c>
      <x:c r="C17" t="inlineStr">
        <x:is>
          <x:t xml:space="preserve">scenario default</x:t>
        </x:is>
      </x:c>
      <x:c r="D17" s="5" t="inlineStr">
        <x:is>
          <x:t xml:space="preserve">ProjectileSystem/Projectiles.dm</x:t>
        </x:is>
      </x:c>
    </x:row>
    <x:row r="18">
      <x:c r="A18" t="inlineStr">
        <x:is>
          <x:t xml:space="preserve">Ki projectile cadence</x:t>
        </x:is>
      </x:c>
      <x:c r="B18" s="3">
        <x:v>0.5</x:v>
      </x:c>
      <x:c r="C18" t="inlineStr">
        <x:is>
          <x:t xml:space="preserve">deciseconds</x:t>
        </x:is>
      </x:c>
      <x:c r="D18" s="5" t="inlineStr">
        <x:is>
          <x:t xml:space="preserve">ProjectileSystem/Blasts.dm</x:t>
        </x:is>
      </x:c>
    </x:row>
    <x:row r="19">
      <x:c r="A19" t="inlineStr">
        <x:is>
          <x:t xml:space="preserve">World FPS</x:t>
        </x:is>
      </x:c>
      <x:c r="B19" s="3">
        <x:v>60</x:v>
      </x:c>
      <x:c r="C19" t="inlineStr">
        <x:is>
          <x:t xml:space="preserve">frames/second</x:t>
        </x:is>
      </x:c>
      <x:c r="D19" s="5" t="inlineStr">
        <x:is>
          <x:t xml:space="preserve">Application/Movement/MovementInput.dm</x:t>
        </x:is>
      </x:c>
    </x:row>
    <x:row r="20">
      <x:c r="A20" t="inlineStr">
        <x:is>
          <x:t xml:space="preserve">Android incoming damage</x:t>
        </x:is>
      </x:c>
      <x:c r="B20" s="3">
        <x:v>0.55</x:v>
      </x:c>
      <x:c r="C20" t="inlineStr">
        <x:is>
          <x:t xml:space="preserve">multiplier</x:t>
        </x:is>
      </x:c>
      <x:c r="D20" s="5" t="inlineStr">
        <x:is>
          <x:t xml:space="preserve">BackgroundCode/StatLoop.dm</x:t>
        </x:is>
      </x:c>
    </x:row>
    <x:row r="21">
      <x:c r="A21" t="inlineStr">
        <x:is>
          <x:t xml:space="preserve">Legendary incoming damage</x:t>
        </x:is>
      </x:c>
      <x:c r="B21" s="3">
        <x:v>0.9</x:v>
      </x:c>
      <x:c r="C21" t="inlineStr">
        <x:is>
          <x:t xml:space="preserve">multiplier</x:t>
        </x:is>
      </x:c>
      <x:c r="D21" s="5" t="inlineStr">
        <x:is>
          <x:t xml:space="preserve">BackgroundCode/StatLoop.dm</x:t>
        </x:is>
      </x:c>
    </x:row>
    <x:row r="22">
      <x:c r="A22" t="inlineStr">
        <x:is>
          <x:t xml:space="preserve">Jiren incoming damage</x:t>
        </x:is>
      </x:c>
      <x:c r="B22" s="3">
        <x:v>1</x:v>
      </x:c>
      <x:c r="C22" t="inlineStr">
        <x:is>
          <x:t xml:space="preserve">multiplier</x:t>
        </x:is>
      </x:c>
      <x:c r="D22" s="5" t="inlineStr">
        <x:is>
          <x:t xml:space="preserve">BackgroundCode/StatLoop.dm</x:t>
        </x:is>
      </x:c>
    </x:row>
    <x:row r="23">
      <x:c r="A23" t="str">
        <x:v>Beam skill cooldown</x:v>
      </x:c>
      <x:c r="B23" t="n">
        <x:v>3</x:v>
      </x:c>
      <x:c r="C23" t="str">
        <x:v>seconds</x:v>
      </x:c>
      <x:c r="D23" t="str">
        <x:v>GlobalCombatSettings.dm</x:v>
      </x:c>
    </x:row>
    <x:row r="24">
      <x:c r="A24" t="str">
        <x:v>Beam clash winner damage</x:v>
      </x:c>
      <x:c r="B24" t="n">
        <x:v>1.35</x:v>
      </x:c>
      <x:c r="C24" t="str">
        <x:v>multiplier</x:v>
      </x:c>
      <x:c r="D24" t="str">
        <x:v>GlobalCombatSettings.dm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customWidth="1"/>
    <x:col min="2" max="2" width="18" customWidth="1"/>
    <x:col min="3" max="3" width="14" customWidth="1"/>
    <x:col min="4" max="4" width="14" customWidth="1"/>
    <x:col min="5" max="5" width="16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20" customWidth="1"/>
  </x:cols>
  <x:sheetData>
    <x:row r="1">
      <x:c r="A1" s="2" t="inlineStr">
        <x:is>
          <x:t xml:space="preserve">Combat Scenario Inputs</x:t>
        </x:is>
      </x:c>
      <x:c r="B1" s="2" t="inlineStr">
        <x:is>
          <x:t xml:space="preserve">Enter runtime-effective values for the attacker and defender.</x:t>
        </x:is>
      </x:c>
    </x:row>
    <x:row r="2">
      <x:c r="A2" s="6" t="inlineStr">
        <x:is>
          <x:t xml:space="preserve">Yellow cells are editable. Incoming multiplier is applied after standard skill math.</x:t>
        </x:is>
      </x:c>
    </x:row>
    <x:row r="3">
      <x:c r="A3" s="1" t="inlineStr">
        <x:is>
          <x:t xml:space="preserve">Role</x:t>
        </x:is>
      </x:c>
      <x:c r="B3" s="1" t="inlineStr">
        <x:is>
          <x:t xml:space="preserve">Race</x:t>
        </x:is>
      </x:c>
      <x:c r="C3" s="1" t="inlineStr">
        <x:is>
          <x:t xml:space="preserve">Base BP</x:t>
        </x:is>
      </x:c>
      <x:c r="D3" s="1" t="inlineStr">
        <x:is>
          <x:t xml:space="preserve">BP Mult</x:t>
        </x:is>
      </x:c>
      <x:c r="E3" s="1" t="inlineStr">
        <x:is>
          <x:t xml:space="preserve">Effective BP</x:t>
        </x:is>
      </x:c>
      <x:c r="F3" s="1" t="inlineStr">
        <x:is>
          <x:t xml:space="preserve">BPpcnt</x:t>
        </x:is>
      </x:c>
      <x:c r="G3" s="1" t="inlineStr">
        <x:is>
          <x:t xml:space="preserve">Anger</x:t>
        </x:is>
      </x:c>
      <x:c r="H3" s="1" t="inlineStr">
        <x:is>
          <x:t xml:space="preserve">Str</x:t>
        </x:is>
      </x:c>
      <x:c r="I3" s="1" t="inlineStr">
        <x:is>
          <x:t xml:space="preserve">End</x:t>
        </x:is>
      </x:c>
      <x:c r="J3" s="1" t="inlineStr">
        <x:is>
          <x:t xml:space="preserve">Pow</x:t>
        </x:is>
      </x:c>
      <x:c r="K3" s="1" t="inlineStr">
        <x:is>
          <x:t xml:space="preserve">Res</x:t>
        </x:is>
      </x:c>
      <x:c r="L3" s="1" t="inlineStr">
        <x:is>
          <x:t xml:space="preserve">Off</x:t>
        </x:is>
      </x:c>
      <x:c r="M3" s="1" t="inlineStr">
        <x:is>
          <x:t xml:space="preserve">Def</x:t>
        </x:is>
      </x:c>
      <x:c r="N3" s="1" t="inlineStr">
        <x:is>
          <x:t xml:space="preserve">Eff</x:t>
        </x:is>
      </x:c>
      <x:c r="O3" s="1" t="inlineStr">
        <x:is>
          <x:t xml:space="preserve">Incoming Dmg Mult</x:t>
        </x:is>
      </x:c>
    </x:row>
    <x:row r="4">
      <x:c r="A4" t="inlineStr">
        <x:is>
          <x:t xml:space="preserve">Attacker</x:t>
        </x:is>
      </x:c>
      <x:c r="B4" s="3" t="inlineStr">
        <x:is>
          <x:t xml:space="preserve">Human</x:t>
        </x:is>
      </x:c>
      <x:c r="C4" s="3">
        <x:v>1000</x:v>
      </x:c>
      <x:c r="D4" s="3">
        <x:v>1</x:v>
      </x:c>
      <x:c r="E4" s="3">
        <x:v>1000</x:v>
      </x:c>
      <x:c r="F4" s="3">
        <x:v>100</x:v>
      </x:c>
      <x:c r="G4" s="3">
        <x:v>100</x:v>
      </x:c>
      <x:c r="H4" s="3">
        <x:v>100</x:v>
      </x:c>
      <x:c r="I4" s="3">
        <x:v>100</x:v>
      </x:c>
      <x:c r="J4" s="3">
        <x:v>100</x:v>
      </x:c>
      <x:c r="K4" s="3">
        <x:v>100</x:v>
      </x:c>
      <x:c r="L4" s="3">
        <x:v>100</x:v>
      </x:c>
      <x:c r="M4" s="3">
        <x:v>100</x:v>
      </x:c>
      <x:c r="N4" s="3">
        <x:v>1</x:v>
      </x:c>
      <x:c r="O4" s="3">
        <x:v>1</x:v>
      </x:c>
    </x:row>
    <x:row r="5">
      <x:c r="A5" t="inlineStr">
        <x:is>
          <x:t xml:space="preserve">Defender</x:t>
        </x:is>
      </x:c>
      <x:c r="B5" s="3" t="inlineStr">
        <x:is>
          <x:t xml:space="preserve">Human</x:t>
        </x:is>
      </x:c>
      <x:c r="C5" s="3">
        <x:v>1000</x:v>
      </x:c>
      <x:c r="D5" s="3">
        <x:v>1</x:v>
      </x:c>
      <x:c r="E5" s="3">
        <x:v>1000</x:v>
      </x:c>
      <x:c r="F5" s="3">
        <x:v>100</x:v>
      </x:c>
      <x:c r="G5" s="3">
        <x:v>100</x:v>
      </x:c>
      <x:c r="H5" s="3">
        <x:v>100</x:v>
      </x:c>
      <x:c r="I5" s="3">
        <x:v>100</x:v>
      </x:c>
      <x:c r="J5" s="3">
        <x:v>100</x:v>
      </x:c>
      <x:c r="K5" s="3">
        <x:v>100</x:v>
      </x:c>
      <x:c r="L5" s="3">
        <x:v>100</x:v>
      </x:c>
      <x:c r="M5" s="3">
        <x:v>100</x:v>
      </x:c>
      <x:c r="N5" s="3">
        <x:v>1</x:v>
      </x:c>
      <x:c r="O5" s="3">
        <x:v>1</x:v>
      </x:c>
    </x:row>
    <x:row r="6">
      <x:c r="A6" s="6" t="inlineStr">
        <x:is>
          <x:t xml:space="preserve">Powerup + anger mix</x:t>
        </x:is>
      </x:c>
      <x:c r="B6" s="4" t="n">
        <x:f>G4/100+F4/100-1</x:f>
        <x:v>1</x:v>
      </x:c>
      <x:c r="C6" s="5" t="inlineStr">
        <x:is>
          <x:t xml:space="preserve">Attacker additive BP mixture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13" customWidth="1"/>
    <x:col min="3" max="3" width="11" customWidth="1"/>
    <x:col min="4" max="4" width="10" customWidth="1"/>
    <x:col min="5" max="5" width="12" customWidth="1"/>
    <x:col min="6" max="6" width="15" customWidth="1"/>
    <x:col min="7" max="7" width="15" customWidth="1"/>
    <x:col min="8" max="8" width="13" customWidth="1"/>
    <x:col min="9" max="9" width="12" customWidth="1"/>
    <x:col min="10" max="10" width="12" customWidth="1"/>
    <x:col min="11" max="11" width="18" customWidth="1"/>
    <x:col min="12" max="12" width="14" customWidth="1"/>
    <x:col min="13" max="13" width="14" customWidth="1"/>
    <x:col min="14" max="14" width="18" customWidth="1"/>
    <x:col min="15" max="15" width="18" customWidth="1"/>
    <x:col min="16" max="16" width="18" customWidth="1"/>
    <x:col min="17" max="17" width="12" customWidth="1"/>
    <x:col min="18" max="18" width="18" customWidth="1"/>
    <x:col min="19" max="19" width="18" customWidth="1"/>
    <x:col min="20" max="20" width="18" customWidth="1"/>
  </x:cols>
  <x:sheetData>
    <x:row r="1">
      <x:c r="A1" s="2" t="inlineStr">
        <x:is>
          <x:t xml:space="preserve">BP Pipeline Scenario</x:t>
        </x:is>
      </x:c>
      <x:c r="B1" s="2" t="inlineStr">
        <x:is>
          <x:t xml:space="preserve">Major ordered stages from get_bp(); situational branches are documented on README.</x:t>
        </x:is>
      </x:c>
    </x:row>
    <x:row r="2">
      <x:c r="A2" s="6" t="inlineStr">
        <x:is>
          <x:t xml:space="preserve">Yellow = input; green = formula.</x:t>
        </x:is>
      </x:c>
    </x:row>
    <x:row r="3">
      <x:c r="A3" s="1" t="inlineStr">
        <x:is>
          <x:t xml:space="preserve">Scenario</x:t>
        </x:is>
      </x:c>
      <x:c r="B3" s="1" t="inlineStr">
        <x:is>
          <x:t xml:space="preserve">Base BP</x:t>
        </x:is>
      </x:c>
      <x:c r="C3" s="1" t="inlineStr">
        <x:is>
          <x:t xml:space="preserve">BP Mult</x:t>
        </x:is>
      </x:c>
      <x:c r="D3" s="1" t="inlineStr">
        <x:is>
          <x:t xml:space="preserve">Body</x:t>
        </x:is>
      </x:c>
      <x:c r="E3" s="1" t="inlineStr">
        <x:is>
          <x:t xml:space="preserve">SSJ Mult</x:t>
        </x:is>
      </x:c>
      <x:c r="F3" s="1" t="inlineStr">
        <x:is>
          <x:t xml:space="preserve">Static Adds</x:t>
        </x:is>
      </x:c>
      <x:c r="G3" s="1" t="inlineStr">
        <x:is>
          <x:t xml:space="preserve">Transform Add</x:t>
        </x:is>
      </x:c>
      <x:c r="H3" s="1" t="inlineStr">
        <x:is>
          <x:t xml:space="preserve">HP/Ki Mult</x:t>
        </x:is>
      </x:c>
      <x:c r="I3" s="1" t="inlineStr">
        <x:is>
          <x:t xml:space="preserve">Powerup %</x:t>
        </x:is>
      </x:c>
      <x:c r="J3" s="1" t="inlineStr">
        <x:is>
          <x:t xml:space="preserve">Anger %</x:t>
        </x:is>
      </x:c>
      <x:c r="K3" s="1" t="inlineStr">
        <x:is>
          <x:t xml:space="preserve">Super Kaioken Add</x:t>
        </x:is>
      </x:c>
      <x:c r="L3" s="1" t="inlineStr">
        <x:is>
          <x:t xml:space="preserve">Pre-Cyber Mult</x:t>
        </x:is>
      </x:c>
      <x:c r="M3" s="1" t="inlineStr">
        <x:is>
          <x:t xml:space="preserve">Cyber BP</x:t>
        </x:is>
      </x:c>
      <x:c r="N3" s="1" t="inlineStr">
        <x:is>
          <x:t xml:space="preserve">Natural Cut if Cyber</x:t>
        </x:is>
      </x:c>
      <x:c r="O3" s="1" t="inlineStr">
        <x:is>
          <x:t xml:space="preserve">Body Swap Cyber</x:t>
        </x:is>
      </x:c>
      <x:c r="P3" s="1" t="inlineStr">
        <x:is>
          <x:t xml:space="preserve">Overdrive Cyber</x:t>
        </x:is>
      </x:c>
      <x:c r="Q3" s="1" t="inlineStr">
        <x:is>
          <x:t xml:space="preserve">Late Mult</x:t>
        </x:is>
      </x:c>
      <x:c r="R3" s="1" t="inlineStr">
        <x:is>
          <x:t xml:space="preserve">Natural Pre-Cyber</x:t>
        </x:is>
      </x:c>
      <x:c r="S3" s="1" t="inlineStr">
        <x:is>
          <x:t xml:space="preserve">Cyber Contribution</x:t>
        </x:is>
      </x:c>
      <x:c r="T3" s="1" t="inlineStr">
        <x:is>
          <x:t xml:space="preserve">Effective BP</x:t>
        </x:is>
      </x:c>
    </x:row>
    <x:row r="4">
      <x:c r="A4" t="inlineStr">
        <x:is>
          <x:t xml:space="preserve">Attacker</x:t>
        </x:is>
      </x:c>
      <x:c r="B4" s="3">
        <x:v>1000</x:v>
      </x:c>
      <x:c r="C4" s="3">
        <x:v>1</x:v>
      </x:c>
      <x:c r="D4" s="3">
        <x:v>1</x:v>
      </x:c>
      <x:c r="E4" s="3">
        <x:v>1</x:v>
      </x:c>
      <x:c r="F4" s="3">
        <x:v>0</x:v>
      </x:c>
      <x:c r="G4" s="3">
        <x:v>0</x:v>
      </x:c>
      <x:c r="H4" s="3">
        <x:v>1</x:v>
      </x:c>
      <x:c r="I4" s="3">
        <x:v>100</x:v>
      </x:c>
      <x:c r="J4" s="3">
        <x:v>100</x:v>
      </x:c>
      <x:c r="K4" s="3">
        <x:v>0</x:v>
      </x:c>
      <x:c r="L4" s="3">
        <x:v>1</x:v>
      </x:c>
      <x:c r="M4" s="3">
        <x:v>0</x:v>
      </x:c>
      <x:c r="N4" s="3">
        <x:v>0</x:v>
      </x:c>
      <x:c r="O4" s="3">
        <x:v>1</x:v>
      </x:c>
      <x:c r="P4" s="3">
        <x:v>1</x:v>
      </x:c>
      <x:c r="Q4" s="3">
        <x:v>1</x:v>
      </x:c>
      <x:c r="R4" s="4" t="n">
        <x:f>((B4*C4*D4*E4)+F4+G4)*H4*(I4/100+J4/100-1+K4)*L4</x:f>
        <x:v>1000</x:v>
      </x:c>
      <x:c r="S4" s="4" t="n">
        <x:f>M4*O4*P4</x:f>
        <x:v>0</x:v>
      </x:c>
      <x:c r="T4" s="4" t="n">
        <x:f>(R4*IF(M4&gt;0,N4,1)+S4)*Q4</x:f>
        <x:v>1000</x:v>
      </x:c>
    </x:row>
    <x:row r="5">
      <x:c r="A5" s="6" t="inlineStr">
        <x:is>
          <x:t xml:space="preserve">Examples</x:t>
        </x:is>
      </x:c>
      <x:c r="B5" s="5" t="inlineStr">
        <x:is>
          <x:t xml:space="preserve">SSJ Mult: 1.35 / 1.8225 / 2.73375 / 2.916. Overdrive Cyber: 1.5. God final multiplier: 1.3. Android with cyber usually uses Natural Cut 0.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customWidth="1"/>
    <x:col min="2" max="2" width="20" customWidth="1"/>
    <x:col min="3" max="3" width="12" customWidth="1"/>
    <x:col min="4" max="4" width="50" customWidth="1"/>
    <x:col min="5" max="5" width="2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72" customWidth="1"/>
  </x:cols>
  <x:sheetData>
    <x:row r="1">
      <x:c r="A1" s="2" t="inlineStr">
        <x:is>
          <x:t xml:space="preserve">Race Profiles</x:t>
        </x:is>
      </x:c>
      <x:c r="B1" s="2" t="inlineStr">
        <x:is>
          <x:t xml:space="preserve">Creation budgets, notable presets and damage-relevant traits.</x:t>
        </x:is>
      </x:c>
    </x:row>
    <x:row r="2">
      <x:c r="A2" s="1" t="inlineStr">
        <x:is>
          <x:t xml:space="preserve">Race</x:t>
        </x:is>
      </x:c>
      <x:c r="B2" s="1" t="inlineStr">
        <x:is>
          <x:t xml:space="preserve">Class/Trait</x:t>
        </x:is>
      </x:c>
      <x:c r="C2" s="1" t="inlineStr">
        <x:is>
          <x:t xml:space="preserve">Budget</x:t>
        </x:is>
      </x:c>
      <x:c r="D2" s="1" t="inlineStr">
        <x:is>
          <x:t xml:space="preserve">Starting modifiers</x:t>
        </x:is>
      </x:c>
      <x:c r="E2" s="1" t="inlineStr">
        <x:is>
          <x:t xml:space="preserve">Primary caps</x:t>
        </x:is>
      </x:c>
      <x:c r="F2" s="1" t="inlineStr">
        <x:is>
          <x:t xml:space="preserve">Regen cap</x:t>
        </x:is>
      </x:c>
      <x:c r="G2" s="1" t="inlineStr">
        <x:is>
          <x:t xml:space="preserve">Recovery cap</x:t>
        </x:is>
      </x:c>
      <x:c r="H2" s="1" t="inlineStr">
        <x:is>
          <x:t xml:space="preserve">Anger cap</x:t>
        </x:is>
      </x:c>
      <x:c r="I2" s="1" t="inlineStr">
        <x:is>
          <x:t xml:space="preserve">Incoming damage</x:t>
        </x:is>
      </x:c>
      <x:c r="J2" s="1" t="inlineStr">
        <x:is>
          <x:t xml:space="preserve">Damage-relevant notes/source</x:t>
        </x:is>
      </x:c>
    </x:row>
    <x:row r="3">
      <x:c r="A3" t="inlineStr">
        <x:is>
          <x:t xml:space="preserve">Human</x:t>
        </x:is>
      </x:c>
      <x:c r="B3" t="inlineStr">
        <x:is>
          <x:t xml:space="preserve">Standard</x:t>
        </x:is>
      </x:c>
      <x:c r="C3">
        <x:v>72</x:v>
      </x:c>
      <x:c r="D3" t="inlineStr">
        <x:is>
          <x:t xml:space="preserve">All primary 1</x:t>
        </x:is>
      </x:c>
      <x:c r="E3" t="inlineStr">
        <x:is>
          <x:t xml:space="preserve">2.5</x:t>
        </x:is>
      </x:c>
      <x:c r="F3">
        <x:v>1.2</x:v>
      </x:c>
      <x:c r="G3">
        <x:v>2</x:v>
      </x:c>
      <x:c r="H3">
        <x:v>150</x:v>
      </x:c>
      <x:c r="I3">
        <x:v>1</x:v>
      </x:c>
      <x:c r="J3" s="5" t="inlineStr">
        <x:is>
          <x:t xml:space="preserve">Early Third Eye; high mature ascension; no direct skill damage override</x:t>
        </x:is>
      </x:c>
    </x:row>
    <x:row r="4">
      <x:c r="A4" t="inlineStr">
        <x:is>
          <x:t xml:space="preserve">Spirit Doll</x:t>
        </x:is>
      </x:c>
      <x:c r="B4" t="inlineStr">
        <x:is>
          <x:t xml:space="preserve">Standard</x:t>
        </x:is>
      </x:c>
      <x:c r="C4">
        <x:v>72</x:v>
      </x:c>
      <x:c r="D4" t="inlineStr">
        <x:is>
          <x:t xml:space="preserve">All primary 1</x:t>
        </x:is>
      </x:c>
      <x:c r="E4" t="inlineStr">
        <x:is>
          <x:t xml:space="preserve">4</x:t>
        </x:is>
      </x:c>
      <x:c r="F4">
        <x:v>1.2</x:v>
      </x:c>
      <x:c r="G4">
        <x:v>2.4</x:v>
      </x:c>
      <x:c r="H4">
        <x:v>130</x:v>
      </x:c>
      <x:c r="I4">
        <x:v>1</x:v>
      </x:c>
      <x:c r="J4" s="5" t="inlineStr">
        <x:is>
          <x:t xml:space="preserve">Human-derived utility; direct skill damage overrides removed</x:t>
        </x:is>
      </x:c>
    </x:row>
    <x:row r="5">
      <x:c r="A5" t="inlineStr">
        <x:is>
          <x:t xml:space="preserve">Saiyan</x:t>
        </x:is>
      </x:c>
      <x:c r="B5" t="inlineStr">
        <x:is>
          <x:t xml:space="preserve">Standard</x:t>
        </x:is>
      </x:c>
      <x:c r="C5">
        <x:v>33</x:v>
      </x:c>
      <x:c r="D5" s="5" t="inlineStr">
        <x:is>
          <x:t xml:space="preserve">Str 1.2; End 1.4; Pow 1.2; Res 1.4; Spd 1.2; Regen 1.6</x:t>
        </x:is>
      </x:c>
      <x:c r="E5" t="inlineStr">
        <x:is>
          <x:t xml:space="preserve">2</x:t>
        </x:is>
      </x:c>
      <x:c r="F5">
        <x:v>1.6</x:v>
      </x:c>
      <x:c r="G5">
        <x:v>1.6</x:v>
      </x:c>
      <x:c r="H5" t="inlineStr">
        <x:is>
          <x:t xml:space="preserve">140-180</x:t>
        </x:is>
      </x:c>
      <x:c r="I5">
        <x:v>1</x:v>
      </x:c>
      <x:c r="J5" s="5" t="inlineStr">
        <x:is>
          <x:t xml:space="preserve">SSJ pipeline and static BP additions</x:t>
        </x:is>
      </x:c>
    </x:row>
    <x:row r="6">
      <x:c r="A6" t="inlineStr">
        <x:is>
          <x:t xml:space="preserve">Saiyan</x:t>
        </x:is>
      </x:c>
      <x:c r="B6" t="inlineStr">
        <x:is>
          <x:t xml:space="preserve">Low Class</x:t>
        </x:is>
      </x:c>
      <x:c r="C6">
        <x:v>37</x:v>
      </x:c>
      <x:c r="D6" t="inlineStr">
        <x:is>
          <x:t xml:space="preserve">End 1.5; Res 1.5; Regen 1.6</x:t>
        </x:is>
      </x:c>
      <x:c r="E6" t="inlineStr">
        <x:is>
          <x:t xml:space="preserve">2</x:t>
        </x:is>
      </x:c>
      <x:c r="F6">
        <x:v>1.6</x:v>
      </x:c>
      <x:c r="G6">
        <x:v>1.6</x:v>
      </x:c>
      <x:c r="H6">
        <x:v>140</x:v>
      </x:c>
      <x:c r="I6">
        <x:v>1</x:v>
      </x:c>
      <x:c r="J6" t="inlineStr">
        <x:is>
          <x:t xml:space="preserve">Class allocation variant</x:t>
        </x:is>
      </x:c>
    </x:row>
    <x:row r="7">
      <x:c r="A7" t="inlineStr">
        <x:is>
          <x:t xml:space="preserve">Saiyan</x:t>
        </x:is>
      </x:c>
      <x:c r="B7" t="inlineStr">
        <x:is>
          <x:t xml:space="preserve">Elite</x:t>
        </x:is>
      </x:c>
      <x:c r="C7">
        <x:v>34</x:v>
      </x:c>
      <x:c r="D7" t="inlineStr">
        <x:is>
          <x:t xml:space="preserve">Str 1.5; Pow 1.5; Spd 1.6</x:t>
        </x:is>
      </x:c>
      <x:c r="E7" t="inlineStr">
        <x:is>
          <x:t xml:space="preserve">2</x:t>
        </x:is>
      </x:c>
      <x:c r="F7">
        <x:v>1.6</x:v>
      </x:c>
      <x:c r="G7">
        <x:v>1.6</x:v>
      </x:c>
      <x:c r="H7">
        <x:v>160</x:v>
      </x:c>
      <x:c r="I7">
        <x:v>1</x:v>
      </x:c>
      <x:c r="J7" t="inlineStr">
        <x:is>
          <x:t xml:space="preserve">Class allocation variant</x:t>
        </x:is>
      </x:c>
    </x:row>
    <x:row r="8">
      <x:c r="A8" t="inlineStr">
        <x:is>
          <x:t xml:space="preserve">Saiyan</x:t>
        </x:is>
      </x:c>
      <x:c r="B8" t="inlineStr">
        <x:is>
          <x:t xml:space="preserve">Legendary</x:t>
        </x:is>
      </x:c>
      <x:c r="C8">
        <x:v>34</x:v>
      </x:c>
      <x:c r="D8" t="inlineStr">
        <x:is>
          <x:t xml:space="preserve">End 1.8; Res 1.8</x:t>
        </x:is>
      </x:c>
      <x:c r="E8" t="inlineStr">
        <x:is>
          <x:t xml:space="preserve">2.5</x:t>
        </x:is>
      </x:c>
      <x:c r="F8">
        <x:v>3.6</x:v>
      </x:c>
      <x:c r="G8">
        <x:v>2.2</x:v>
      </x:c>
      <x:c r="H8">
        <x:v>180</x:v>
      </x:c>
      <x:c r="I8">
        <x:v>0.9</x:v>
      </x:c>
      <x:c r="J8" s="5" t="inlineStr">
        <x:is>
          <x:t xml:space="preserve">Exceptional sustainable tier; racial BP 1.65 and LSSJ form</x:t>
        </x:is>
      </x:c>
    </x:row>
    <x:row r="9">
      <x:c r="A9" t="inlineStr">
        <x:is>
          <x:t xml:space="preserve">Half Saiyan</x:t>
        </x:is>
      </x:c>
      <x:c r="B9" t="inlineStr">
        <x:is>
          <x:t xml:space="preserve">Standard</x:t>
        </x:is>
      </x:c>
      <x:c r="C9">
        <x:v>44</x:v>
      </x:c>
      <x:c r="D9" t="inlineStr">
        <x:is>
          <x:t xml:space="preserve">All primary 1</x:t>
        </x:is>
      </x:c>
      <x:c r="E9" t="inlineStr">
        <x:is>
          <x:t xml:space="preserve">2.5</x:t>
        </x:is>
      </x:c>
      <x:c r="F9">
        <x:v>1.6</x:v>
      </x:c>
      <x:c r="G9">
        <x:v>2.4</x:v>
      </x:c>
      <x:c r="H9">
        <x:v>400</x:v>
      </x:c>
      <x:c r="I9">
        <x:v>1</x:v>
      </x:c>
      <x:c r="J9" t="inlineStr">
        <x:is>
          <x:t xml:space="preserve">SSJ access; high anger cap</x:t>
        </x:is>
      </x:c>
    </x:row>
    <x:row r="10">
      <x:c r="A10" t="inlineStr">
        <x:is>
          <x:t xml:space="preserve">Alien</x:t>
        </x:is>
      </x:c>
      <x:c r="B10" t="inlineStr">
        <x:is>
          <x:t xml:space="preserve">Standard</x:t>
        </x:is>
      </x:c>
      <x:c r="C10">
        <x:v>75</x:v>
      </x:c>
      <x:c r="D10" s="5" t="inlineStr">
        <x:is>
          <x:t xml:space="preserve">Primary 0.8; Regen/Recovery 0.6</x:t>
        </x:is>
      </x:c>
      <x:c r="E10" t="inlineStr">
        <x:is>
          <x:t xml:space="preserve">5</x:t>
        </x:is>
      </x:c>
      <x:c r="F10">
        <x:v>4</x:v>
      </x:c>
      <x:c r="G10">
        <x:v>3</x:v>
      </x:c>
      <x:c r="H10">
        <x:v>150</x:v>
      </x:c>
      <x:c r="I10">
        <x:v>1</x:v>
      </x:c>
      <x:c r="J10" s="5" t="inlineStr">
        <x:is>
          <x:t xml:space="preserve">Shifter can gain stretchy limbs</x:t>
        </x:is>
      </x:c>
    </x:row>
    <x:row r="11">
      <x:c r="A11" t="inlineStr">
        <x:is>
          <x:t xml:space="preserve">Alien</x:t>
        </x:is>
      </x:c>
      <x:c r="B11" t="inlineStr">
        <x:is>
          <x:t xml:space="preserve">Apex Genome option</x:t>
        </x:is>
      </x:c>
      <x:c r="C11">
        <x:v>75</x:v>
      </x:c>
      <x:c r="D11" t="inlineStr">
        <x:is>
          <x:t xml:space="preserve">As Alien plus option</x:t>
        </x:is>
      </x:c>
      <x:c r="E11" t="inlineStr">
        <x:is>
          <x:t xml:space="preserve">5</x:t>
        </x:is>
      </x:c>
      <x:c r="F11">
        <x:v>4</x:v>
      </x:c>
      <x:c r="G11">
        <x:v>3</x:v>
      </x:c>
      <x:c r="H11">
        <x:v>150</x:v>
      </x:c>
      <x:c r="I11">
        <x:v>1</x:v>
      </x:c>
      <x:c r="J11" s="5" t="inlineStr">
        <x:is>
          <x:t xml:space="preserve">Normalized Standard tier: effective BP x0.95; cannot anger; soft cap x0.75</x:t>
        </x:is>
      </x:c>
    </x:row>
    <x:row r="12">
      <x:c r="A12" t="inlineStr">
        <x:is>
          <x:t xml:space="preserve">Android</x:t>
        </x:is>
      </x:c>
      <x:c r="B12" t="inlineStr">
        <x:is>
          <x:t xml:space="preserve">Chassis / Infiltrator</x:t>
        </x:is>
      </x:c>
      <x:c r="C12">
        <x:v>61</x:v>
      </x:c>
      <x:c r="D12" t="inlineStr">
        <x:is>
          <x:t xml:space="preserve">Force 0.8; Regen/Recovery 0.6</x:t>
        </x:is>
      </x:c>
      <x:c r="E12" t="inlineStr">
        <x:is>
          <x:t xml:space="preserve">5</x:t>
        </x:is>
      </x:c>
      <x:c r="F12">
        <x:v>3</x:v>
      </x:c>
      <x:c r="G12">
        <x:v>3</x:v>
      </x:c>
      <x:c r="H12" t="inlineStr">
        <x:is>
          <x:t xml:space="preserve">N/A</x:t>
        </x:is>
      </x:c>
      <x:c r="I12">
        <x:v>0.55</x:v>
      </x:c>
      <x:c r="J12" s="5" t="inlineStr">
        <x:is>
          <x:t xml:space="preserve">Exceptional external tier; cyber BP replacement/Overdrive pipeline</x:t>
        </x:is>
      </x:c>
    </x:row>
    <x:row r="13">
      <x:c r="A13" t="inlineStr">
        <x:is>
          <x:t xml:space="preserve">Demigod</x:t>
        </x:is>
      </x:c>
      <x:c r="B13" t="inlineStr">
        <x:is>
          <x:t xml:space="preserve">Standard</x:t>
        </x:is>
      </x:c>
      <x:c r="C13">
        <x:v>24</x:v>
      </x:c>
      <x:c r="D13" t="inlineStr">
        <x:is>
          <x:t xml:space="preserve">Str 2; End 1.5; Res 1.5</x:t>
        </x:is>
      </x:c>
      <x:c r="E13" t="inlineStr">
        <x:is>
          <x:t xml:space="preserve">Energy 4; others 2</x:t>
        </x:is>
      </x:c>
      <x:c r="F13">
        <x:v>3</x:v>
      </x:c>
      <x:c r="G13">
        <x:v>3</x:v>
      </x:c>
      <x:c r="H13">
        <x:v>200</x:v>
      </x:c>
      <x:c r="I13">
        <x:v>1</x:v>
      </x:c>
      <x:c r="J13" s="5" t="inlineStr">
        <x:is>
          <x:t xml:space="preserve">Starts with Zanzoken when racial skills enabled</x:t>
        </x:is>
      </x:c>
    </x:row>
    <x:row r="14">
      <x:c r="A14" t="inlineStr">
        <x:is>
          <x:t xml:space="preserve">Makyo</x:t>
        </x:is>
      </x:c>
      <x:c r="B14" t="inlineStr">
        <x:is>
          <x:t xml:space="preserve">Standard</x:t>
        </x:is>
      </x:c>
      <x:c r="C14">
        <x:v>48</x:v>
      </x:c>
      <x:c r="D14" t="inlineStr">
        <x:is>
          <x:t xml:space="preserve">End 1.7; Spd 1.7</x:t>
        </x:is>
      </x:c>
      <x:c r="E14" t="inlineStr">
        <x:is>
          <x:t xml:space="preserve">Energy 2.5; others 2</x:t>
        </x:is>
      </x:c>
      <x:c r="F14">
        <x:v>2</x:v>
      </x:c>
      <x:c r="G14">
        <x:v>1.6</x:v>
      </x:c>
      <x:c r="H14">
        <x:v>150</x:v>
      </x:c>
      <x:c r="I14">
        <x:v>1</x:v>
      </x:c>
      <x:c r="J14" s="5" t="inlineStr">
        <x:is>
          <x:t xml:space="preserve">Giant Form gets larger BP addition</x:t>
        </x:is>
      </x:c>
    </x:row>
    <x:row r="15">
      <x:c r="A15" t="inlineStr">
        <x:is>
          <x:t xml:space="preserve">Namekian</x:t>
        </x:is>
      </x:c>
      <x:c r="B15" t="inlineStr">
        <x:is>
          <x:t xml:space="preserve">Standard</x:t>
        </x:is>
      </x:c>
      <x:c r="C15">
        <x:v>45</x:v>
      </x:c>
      <x:c r="D15" t="inlineStr">
        <x:is>
          <x:t xml:space="preserve">Defense 1.5; Regen 3</x:t>
        </x:is>
      </x:c>
      <x:c r="E15" t="inlineStr">
        <x:is>
          <x:t xml:space="preserve">4</x:t>
        </x:is>
      </x:c>
      <x:c r="F15">
        <x:v>4</x:v>
      </x:c>
      <x:c r="G15">
        <x:v>1.6</x:v>
      </x:c>
      <x:c r="H15">
        <x:v>130</x:v>
      </x:c>
      <x:c r="I15">
        <x:v>1</x:v>
      </x:c>
      <x:c r="J15" s="5" t="inlineStr">
        <x:is>
          <x:t xml:space="preserve">Stretchy arms 500 px; Zanzoken racial grant</x:t>
        </x:is>
      </x:c>
    </x:row>
    <x:row r="16">
      <x:c r="A16" t="inlineStr">
        <x:is>
          <x:t xml:space="preserve">Bio-Android</x:t>
        </x:is>
      </x:c>
      <x:c r="B16" t="inlineStr">
        <x:is>
          <x:t xml:space="preserve">Exceptional</x:t>
        </x:is>
      </x:c>
      <x:c r="C16">
        <x:v>31</x:v>
      </x:c>
      <x:c r="D16" t="inlineStr">
        <x:is>
          <x:t xml:space="preserve">Spd 1.4; Res 1.4; Regen 2</x:t>
        </x:is>
      </x:c>
      <x:c r="E16" t="inlineStr">
        <x:is>
          <x:t xml:space="preserve">2.5</x:t>
        </x:is>
      </x:c>
      <x:c r="F16">
        <x:v>6</x:v>
      </x:c>
      <x:c r="G16">
        <x:v>2</x:v>
      </x:c>
      <x:c r="H16">
        <x:v>200</x:v>
      </x:c>
      <x:c r="I16">
        <x:v>0.89</x:v>
      </x:c>
      <x:c r="J16" s="5" t="inlineStr">
        <x:is>
          <x:t xml:space="preserve">Perfect Form late BP x1.6; racial BP x1.1; stretchy arms 500 px</x:t>
        </x:is>
      </x:c>
    </x:row>
    <x:row r="17">
      <x:c r="A17" t="inlineStr">
        <x:is>
          <x:t xml:space="preserve">Majin</x:t>
        </x:is>
      </x:c>
      <x:c r="B17" t="inlineStr">
        <x:is>
          <x:t xml:space="preserve">Exceptional</x:t>
        </x:is>
      </x:c>
      <x:c r="C17">
        <x:v>34</x:v>
      </x:c>
      <x:c r="D17" s="5" t="inlineStr">
        <x:is>
          <x:t xml:space="preserve">Regen 2; Recovery 2; End/Res x0.77 then Regen x2.5</x:t>
        </x:is>
      </x:c>
      <x:c r="E17" t="inlineStr">
        <x:is>
          <x:t xml:space="preserve">3</x:t>
        </x:is>
      </x:c>
      <x:c r="F17">
        <x:v>999</x:v>
      </x:c>
      <x:c r="G17">
        <x:v>2.4</x:v>
      </x:c>
      <x:c r="H17">
        <x:v>160</x:v>
      </x:c>
      <x:c r="I17">
        <x:v>0.96</x:v>
      </x:c>
      <x:c r="J17" s="5" t="inlineStr">
        <x:is>
          <x:t xml:space="preserve">Racial BP 1.13; Majin buff bp_mult +0.2; attack drain +0.5</x:t>
        </x:is>
      </x:c>
    </x:row>
    <x:row r="18">
      <x:c r="A18" t="inlineStr">
        <x:is>
          <x:t xml:space="preserve">Kai</x:t>
        </x:is>
      </x:c>
      <x:c r="B18" t="inlineStr">
        <x:is>
          <x:t xml:space="preserve">Standard</x:t>
        </x:is>
      </x:c>
      <x:c r="C18">
        <x:v>42</x:v>
      </x:c>
      <x:c r="D18" s="5" t="inlineStr">
        <x:is>
          <x:t xml:space="preserve">Energy 1.3; Spd 1.5; Recovery 2</x:t>
        </x:is>
      </x:c>
      <x:c r="E18" t="inlineStr">
        <x:is>
          <x:t xml:space="preserve">5</x:t>
        </x:is>
      </x:c>
      <x:c r="F18">
        <x:v>1</x:v>
      </x:c>
      <x:c r="G18">
        <x:v>3</x:v>
      </x:c>
      <x:c r="H18">
        <x:v>120</x:v>
      </x:c>
      <x:c r="I18">
        <x:v>1</x:v>
      </x:c>
      <x:c r="J18" t="inlineStr">
        <x:is>
          <x:t xml:space="preserve">High energy/speed profile</x:t>
        </x:is>
      </x:c>
    </x:row>
    <x:row r="19">
      <x:c r="A19" t="inlineStr">
        <x:is>
          <x:t xml:space="preserve">Frost Lord</x:t>
        </x:is>
      </x:c>
      <x:c r="B19" t="inlineStr">
        <x:is>
          <x:t xml:space="preserve">Standard/Cooler</x:t>
        </x:is>
      </x:c>
      <x:c r="C19">
        <x:v>29</x:v>
      </x:c>
      <x:c r="D19" t="inlineStr">
        <x:is>
          <x:t xml:space="preserve">End/Res/Spd 1.5</x:t>
        </x:is>
      </x:c>
      <x:c r="E19" s="5" t="inlineStr">
        <x:is>
          <x:t xml:space="preserve">Energy 2.5; combat 1.9; Off/Def 2</x:t>
        </x:is>
      </x:c>
      <x:c r="F19">
        <x:v>1</x:v>
      </x:c>
      <x:c r="G19">
        <x:v>1.4</x:v>
      </x:c>
      <x:c r="H19">
        <x:v>130</x:v>
      </x:c>
      <x:c r="I19">
        <x:v>1</x:v>
      </x:c>
      <x:c r="J19" s="5" t="inlineStr">
        <x:is>
          <x:t xml:space="preserve">Four additive forms; Gold and God Ki paths</x:t>
        </x:is>
      </x:c>
    </x:row>
    <x:row r="20">
      <x:c r="A20" t="inlineStr">
        <x:is>
          <x:t xml:space="preserve">Demon</x:t>
        </x:is>
      </x:c>
      <x:c r="B20" t="inlineStr">
        <x:is>
          <x:t xml:space="preserve">Standard</x:t>
        </x:is>
      </x:c>
      <x:c r="C20">
        <x:v>44</x:v>
      </x:c>
      <x:c r="D20" t="inlineStr">
        <x:is>
          <x:t xml:space="preserve">All primary 1</x:t>
        </x:is>
      </x:c>
      <x:c r="E20" t="inlineStr">
        <x:is>
          <x:t xml:space="preserve">2</x:t>
        </x:is>
      </x:c>
      <x:c r="F20">
        <x:v>4</x:v>
      </x:c>
      <x:c r="G20">
        <x:v>1.6</x:v>
      </x:c>
      <x:c r="H20">
        <x:v>200</x:v>
      </x:c>
      <x:c r="I20">
        <x:v>1</x:v>
      </x:c>
      <x:c r="J20" s="5" t="inlineStr">
        <x:is>
          <x:t xml:space="preserve">BP x 1 + 0.1 per collected soul</x:t>
        </x:is>
      </x:c>
    </x:row>
    <x:row r="21">
      <x:c r="A21" t="inlineStr">
        <x:is>
          <x:t xml:space="preserve">Tsujin</x:t>
        </x:is>
      </x:c>
      <x:c r="B21" t="inlineStr">
        <x:is>
          <x:t xml:space="preserve">Standard</x:t>
        </x:is>
      </x:c>
      <x:c r="C21">
        <x:v>55</x:v>
      </x:c>
      <x:c r="D21" t="inlineStr">
        <x:is>
          <x:t xml:space="preserve">All primary 1</x:t>
        </x:is>
      </x:c>
      <x:c r="E21" t="inlineStr">
        <x:is>
          <x:t xml:space="preserve">2.5</x:t>
        </x:is>
      </x:c>
      <x:c r="F21">
        <x:v>1</x:v>
      </x:c>
      <x:c r="G21">
        <x:v>2</x:v>
      </x:c>
      <x:c r="H21">
        <x:v>150</x:v>
      </x:c>
      <x:c r="I21">
        <x:v>1</x:v>
      </x:c>
      <x:c r="J21" t="inlineStr">
        <x:is>
          <x:t xml:space="preserve">Standard damage pipeline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customWidth="1"/>
    <x:col min="2" max="2" width="24" customWidth="1"/>
    <x:col min="3" max="3" width="14" customWidth="1"/>
    <x:col min="4" max="4" width="12" customWidth="1"/>
    <x:col min="5" max="5" width="13" customWidth="1"/>
    <x:col min="6" max="6" width="15" customWidth="1"/>
    <x:col min="7" max="7" width="15" customWidth="1"/>
    <x:col min="8" max="8" width="16" customWidth="1"/>
    <x:col min="9" max="9" width="16" customWidth="1"/>
    <x:col min="10" max="10" width="10" customWidth="1"/>
    <x:col min="11" max="11" width="11" customWidth="1"/>
    <x:col min="12" max="12" width="11" customWidth="1"/>
    <x:col min="13" max="13" width="11" customWidth="1"/>
    <x:col min="14" max="14" width="11" customWidth="1"/>
    <x:col min="15" max="15" width="11" customWidth="1"/>
    <x:col min="16" max="16" width="11" customWidth="1"/>
    <x:col min="17" max="17" width="11" customWidth="1"/>
    <x:col min="18" max="18" width="11" customWidth="1"/>
    <x:col min="19" max="19" width="12" customWidth="1"/>
    <x:col min="20" max="20" width="12" customWidth="1"/>
    <x:col min="21" max="21" width="15" customWidth="1"/>
    <x:col min="22" max="22" width="15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70" customWidth="1"/>
  </x:cols>
  <x:sheetData>
    <x:row r="1">
      <x:c r="A1" s="2" t="inlineStr">
        <x:is>
          <x:t xml:space="preserve">Race Balance Comparison</x:t>
        </x:is>
      </x:c>
      <x:c r="B1" s="2" t="inlineStr">
        <x:is>
          <x:t xml:space="preserve">Creation-only diagnostic. Use Progression Balance for authoritative mature, sustainable, endgame, burst and external-progression comparisons.</x:t>
        </x:is>
      </x:c>
    </x:row>
    <x:row r="2">
      <x:c r="A2" s="1" t="inlineStr">
        <x:is>
          <x:t xml:space="preserve">Race</x:t>
        </x:is>
      </x:c>
      <x:c r="B2" s="1" t="inlineStr">
        <x:is>
          <x:t xml:space="preserve">Variant</x:t>
        </x:is>
      </x:c>
      <x:c r="C2" s="1" t="inlineStr">
        <x:is>
          <x:t xml:space="preserve">Tier</x:t>
        </x:is>
      </x:c>
      <x:c r="D2" s="1" t="inlineStr">
        <x:is>
          <x:t xml:space="preserve">Target</x:t>
        </x:is>
      </x:c>
      <x:c r="E2" s="1" t="inlineStr">
        <x:is>
          <x:t xml:space="preserve">Starting BP</x:t>
        </x:is>
      </x:c>
      <x:c r="F2" s="1" t="inlineStr">
        <x:is>
          <x:t xml:space="preserve">Current passive BP</x:t>
        </x:is>
      </x:c>
      <x:c r="G2" s="1" t="inlineStr">
        <x:is>
          <x:t xml:space="preserve">Proposed passive BP</x:t>
        </x:is>
      </x:c>
      <x:c r="H2" s="1" t="inlineStr">
        <x:is>
          <x:t xml:space="preserve">Current effective BP</x:t>
        </x:is>
      </x:c>
      <x:c r="I2" s="1" t="inlineStr">
        <x:is>
          <x:t xml:space="preserve">Proposed effective BP</x:t>
        </x:is>
      </x:c>
      <x:c r="J2" s="1" t="inlineStr">
        <x:is>
          <x:t xml:space="preserve">Budget</x:t>
        </x:is>
      </x:c>
      <x:c r="K2" s="1" t="inlineStr">
        <x:is>
          <x:t xml:space="preserve">Energy</x:t>
        </x:is>
      </x:c>
      <x:c r="L2" s="1" t="inlineStr">
        <x:is>
          <x:t xml:space="preserve">Strength</x:t>
        </x:is>
      </x:c>
      <x:c r="M2" s="1" t="inlineStr">
        <x:is>
          <x:t xml:space="preserve">Endurance</x:t>
        </x:is>
      </x:c>
      <x:c r="N2" s="1" t="inlineStr">
        <x:is>
          <x:t xml:space="preserve">Speed</x:t>
        </x:is>
      </x:c>
      <x:c r="O2" s="1" t="inlineStr">
        <x:is>
          <x:t xml:space="preserve">Force</x:t>
        </x:is>
      </x:c>
      <x:c r="P2" s="1" t="inlineStr">
        <x:is>
          <x:t xml:space="preserve">Resistance</x:t>
        </x:is>
      </x:c>
      <x:c r="Q2" s="1" t="inlineStr">
        <x:is>
          <x:t xml:space="preserve">Offense</x:t>
        </x:is>
      </x:c>
      <x:c r="R2" s="1" t="inlineStr">
        <x:is>
          <x:t xml:space="preserve">Defense</x:t>
        </x:is>
      </x:c>
      <x:c r="S2" s="1" t="inlineStr">
        <x:is>
          <x:t xml:space="preserve">Regeneration</x:t>
        </x:is>
      </x:c>
      <x:c r="T2" s="1" t="inlineStr">
        <x:is>
          <x:t xml:space="preserve">Recovery</x:t>
        </x:is>
      </x:c>
      <x:c r="U2" s="1" t="inlineStr">
        <x:is>
          <x:t xml:space="preserve">Current incoming</x:t>
        </x:is>
      </x:c>
      <x:c r="V2" s="1" t="inlineStr">
        <x:is>
          <x:t xml:space="preserve">Proposed incoming</x:t>
        </x:is>
      </x:c>
      <x:c r="W2" s="1" t="inlineStr">
        <x:is>
          <x:t xml:space="preserve">Current index</x:t>
        </x:is>
      </x:c>
      <x:c r="X2" s="1" t="inlineStr">
        <x:is>
          <x:t xml:space="preserve">Proposed index</x:t>
        </x:is>
      </x:c>
      <x:c r="Y2" s="1" t="inlineStr">
        <x:is>
          <x:t xml:space="preserve">Target delta</x:t>
        </x:is>
      </x:c>
      <x:c r="Z2" s="1" t="inlineStr">
        <x:is>
          <x:t xml:space="preserve">Status</x:t>
        </x:is>
      </x:c>
      <x:c r="AA2" s="1" t="inlineStr">
        <x:is>
          <x:t xml:space="preserve">Scope / notes</x:t>
        </x:is>
      </x:c>
    </x:row>
    <x:row r="3">
      <x:c r="A3" t="inlineStr">
        <x:is>
          <x:t xml:space="preserve">Human</x:t>
        </x:is>
      </x:c>
      <x:c r="B3" t="inlineStr">
        <x:is>
          <x:t xml:space="preserve">Adaptability</x:t>
        </x:is>
      </x:c>
      <x:c r="C3" t="inlineStr">
        <x:is>
          <x:t xml:space="preserve">Standard</x:t>
        </x:is>
      </x:c>
      <x:c r="D3">
        <x:v>100</x:v>
      </x:c>
      <x:c r="E3" s="3">
        <x:v>1.33</x:v>
      </x:c>
      <x:c r="F3" s="3">
        <x:v>1</x:v>
      </x:c>
      <x:c r="G3" s="3">
        <x:v>1</x:v>
      </x:c>
      <x:c r="H3" s="4" t="n">
        <x:f>E3*F3</x:f>
        <x:v>1.33</x:v>
      </x:c>
      <x:c r="I3" s="4" t="n">
        <x:f>E3*G3</x:f>
        <x:v>1.33</x:v>
      </x:c>
      <x:c r="J3">
        <x:v>72</x:v>
      </x:c>
      <x:c r="K3" s="3">
        <x:v>1.9</x:v>
      </x:c>
      <x:c r="L3" s="3">
        <x:v>1.9</x:v>
      </x:c>
      <x:c r="M3" s="3">
        <x:v>1.9</x:v>
      </x:c>
      <x:c r="N3" s="3">
        <x:v>1.9</x:v>
      </x:c>
      <x:c r="O3" s="3">
        <x:v>1.9</x:v>
      </x:c>
      <x:c r="P3" s="3">
        <x:v>1.9</x:v>
      </x:c>
      <x:c r="Q3" s="3">
        <x:v>1.9</x:v>
      </x:c>
      <x:c r="R3" s="3">
        <x:v>1.9</x:v>
      </x:c>
      <x:c r="S3" s="3">
        <x:v>1</x:v>
      </x:c>
      <x:c r="T3" s="3">
        <x:v>1</x:v>
      </x:c>
      <x:c r="U3" s="3">
        <x:v>1</x:v>
      </x:c>
      <x:c r="V3" s="3">
        <x:v>1</x:v>
      </x:c>
      <x:c r="W3" s="4" t="n">
        <x:f>100*SQRT((((POWER(H3/$H$3,0.5)*POWER(2*L3/(L3+$M$3),0.85))+(POWER(H3/$H$3,0.5)*POWER(2*O3/(O3+$P$3),0.85)))/2)*(POWER(N3/$N$3,0.2)*POWER(Q3/$Q$3,0.1)*POWER(R3/$R$3,0.1)*POWER(S3/$S$3,0.1))/(((POWER($H$3/H3,0.5)*POWER(2*$L$3/($L$3+M3),0.85)*U3)+(POWER($H$3/H3,0.5)*POWER(2*$O$3/($O$3+P3),0.85)*U3))/2))</x:f>
        <x:v>100</x:v>
      </x:c>
      <x:c r="X3" s="4" t="n">
        <x:f>100*SQRT((((POWER(I3/$I$3,0.5)*POWER(2*L3/(L3+$M$3),0.85))+(POWER(I3/$I$3,0.5)*POWER(2*O3/(O3+$P$3),0.85)))/2)*(POWER(N3/$N$3,0.2)*POWER(Q3/$Q$3,0.1)*POWER(R3/$R$3,0.1)*POWER(S3/$S$3,0.1))/(((POWER($I$3/I3,0.5)*POWER(2*$L$3/($L$3+M3),0.85)*V3)+(POWER($I$3/I3,0.5)*POWER(2*$O$3/($O$3+P3),0.85)*V3))/2))</x:f>
        <x:v>100</x:v>
      </x:c>
      <x:c r="Y3" s="4" t="n">
        <x:f>X3-D3</x:f>
        <x:v>0</x:v>
      </x:c>
      <x:c r="Z3" s="4" t="str">
        <x:f>IF(ABS(Y3/D3)&lt;=0.1,"IN BAND","REVIEW")</x:f>
        <x:v>IN BAND</x:v>
      </x:c>
      <x:c r="AA3" s="5" t="inlineStr">
        <x:is>
          <x:t xml:space="preserve">Baseline; target-equivalent to untransformed Saiyan</x:t>
        </x:is>
      </x:c>
    </x:row>
    <x:row r="4">
      <x:c r="A4" t="inlineStr">
        <x:is>
          <x:t xml:space="preserve">Spirit Doll</x:t>
        </x:is>
      </x:c>
      <x:c r="B4" t="inlineStr">
        <x:is>
          <x:t xml:space="preserve">Awakened Soul</x:t>
        </x:is>
      </x:c>
      <x:c r="C4" t="inlineStr">
        <x:is>
          <x:t xml:space="preserve">Standard</x:t>
        </x:is>
      </x:c>
      <x:c r="D4">
        <x:v>100</x:v>
      </x:c>
      <x:c r="E4" s="3">
        <x:v>1.197</x:v>
      </x:c>
      <x:c r="F4" s="3">
        <x:v>1</x:v>
      </x:c>
      <x:c r="G4" s="3">
        <x:v>1</x:v>
      </x:c>
      <x:c r="H4" s="4" t="n">
        <x:f>E4*F4</x:f>
        <x:v>1.197</x:v>
      </x:c>
      <x:c r="I4" s="4" t="n">
        <x:f>E4*G4</x:f>
        <x:v>1.197</x:v>
      </x:c>
      <x:c r="J4">
        <x:v>72</x:v>
      </x:c>
      <x:c r="K4" s="3">
        <x:v>1.9</x:v>
      </x:c>
      <x:c r="L4" s="3">
        <x:v>1.9</x:v>
      </x:c>
      <x:c r="M4" s="3">
        <x:v>1.9</x:v>
      </x:c>
      <x:c r="N4" s="3">
        <x:v>1.9</x:v>
      </x:c>
      <x:c r="O4" s="3">
        <x:v>1.9</x:v>
      </x:c>
      <x:c r="P4" s="3">
        <x:v>1.9</x:v>
      </x:c>
      <x:c r="Q4" s="3">
        <x:v>1.9</x:v>
      </x:c>
      <x:c r="R4" s="3">
        <x:v>1.9</x:v>
      </x:c>
      <x:c r="S4" s="3">
        <x:v>1</x:v>
      </x:c>
      <x:c r="T4" s="3">
        <x:v>1</x:v>
      </x:c>
      <x:c r="U4" s="3">
        <x:v>1</x:v>
      </x:c>
      <x:c r="V4" s="3">
        <x:v>1</x:v>
      </x:c>
      <x:c r="W4" s="4" t="n">
        <x:f>100*SQRT((((POWER(H4/$H$3,0.5)*POWER(2*L4/(L4+$M$3),0.85))+(POWER(H4/$H$3,0.5)*POWER(2*O4/(O4+$P$3),0.85)))/2)*(POWER(N4/$N$3,0.2)*POWER(Q4/$Q$3,0.1)*POWER(R4/$R$3,0.1)*POWER(S4/$S$3,0.1))/(((POWER($H$3/H4,0.5)*POWER(2*$L$3/($L$3+M4),0.85)*U4)+(POWER($H$3/H4,0.5)*POWER(2*$O$3/($O$3+P4),0.85)*U4))/2))</x:f>
        <x:v>94.86832980505137</x:v>
      </x:c>
      <x:c r="X4" s="4" t="n">
        <x:f>100*SQRT((((POWER(I4/$I$3,0.5)*POWER(2*L4/(L4+$M$3),0.85))+(POWER(I4/$I$3,0.5)*POWER(2*O4/(O4+$P$3),0.85)))/2)*(POWER(N4/$N$3,0.2)*POWER(Q4/$Q$3,0.1)*POWER(R4/$R$3,0.1)*POWER(S4/$S$3,0.1))/(((POWER($I$3/I4,0.5)*POWER(2*$L$3/($L$3+M4),0.85)*V4)+(POWER($I$3/I4,0.5)*POWER(2*$O$3/($O$3+P4),0.85)*V4))/2))</x:f>
        <x:v>94.86832980505137</x:v>
      </x:c>
      <x:c r="Y4" s="4" t="n">
        <x:f>X4-D4</x:f>
        <x:v>-5.131670194948626</x:v>
      </x:c>
      <x:c r="Z4" s="4" t="str">
        <x:f>IF(ABS(Y4/D4)&lt;=0.1,"IN BAND","REVIEW")</x:f>
        <x:v>IN BAND</x:v>
      </x:c>
      <x:c r="AA4" s="5" t="inlineStr">
        <x:is>
          <x:t xml:space="preserve">Human-derived utility profile; direct racial damage bonuses removed</x:t>
        </x:is>
      </x:c>
    </x:row>
    <x:row r="5">
      <x:c r="A5" t="inlineStr">
        <x:is>
          <x:t xml:space="preserve">Saiyan</x:t>
        </x:is>
      </x:c>
      <x:c r="B5" t="inlineStr">
        <x:is>
          <x:t xml:space="preserve">Warrior Blood</x:t>
        </x:is>
      </x:c>
      <x:c r="C5" t="inlineStr">
        <x:is>
          <x:t xml:space="preserve">Standard</x:t>
        </x:is>
      </x:c>
      <x:c r="D5">
        <x:v>100</x:v>
      </x:c>
      <x:c r="E5" s="3">
        <x:v>2</x:v>
      </x:c>
      <x:c r="F5" s="3">
        <x:v>1</x:v>
      </x:c>
      <x:c r="G5" s="3">
        <x:v>0.77</x:v>
      </x:c>
      <x:c r="H5" s="4" t="n">
        <x:f>E5*F5</x:f>
        <x:v>2</x:v>
      </x:c>
      <x:c r="I5" s="4" t="n">
        <x:f>E5*G5</x:f>
        <x:v>1.54</x:v>
      </x:c>
      <x:c r="J5">
        <x:v>33</x:v>
      </x:c>
      <x:c r="K5" s="3">
        <x:v>1.5</x:v>
      </x:c>
      <x:c r="L5" s="3">
        <x:v>1.6</x:v>
      </x:c>
      <x:c r="M5" s="3">
        <x:v>1.8</x:v>
      </x:c>
      <x:c r="N5" s="3">
        <x:v>1.6</x:v>
      </x:c>
      <x:c r="O5" s="3">
        <x:v>1.6</x:v>
      </x:c>
      <x:c r="P5" s="3">
        <x:v>1.8</x:v>
      </x:c>
      <x:c r="Q5" s="3">
        <x:v>1.4</x:v>
      </x:c>
      <x:c r="R5" s="3">
        <x:v>1.4</x:v>
      </x:c>
      <x:c r="S5" s="3">
        <x:v>1.6</x:v>
      </x:c>
      <x:c r="T5" s="3">
        <x:v>1</x:v>
      </x:c>
      <x:c r="U5" s="3">
        <x:v>1</x:v>
      </x:c>
      <x:c r="V5" s="3">
        <x:v>1</x:v>
      </x:c>
      <x:c r="W5" s="4" t="n">
        <x:f>100*SQRT((((POWER(H5/$H$3,0.5)*POWER(2*L5/(L5+$M$3),0.85))+(POWER(H5/$H$3,0.5)*POWER(2*O5/(O5+$P$3),0.85)))/2)*(POWER(N5/$N$3,0.2)*POWER(Q5/$Q$3,0.1)*POWER(R5/$R$3,0.1)*POWER(S5/$S$3,0.1))/(((POWER($H$3/H5,0.5)*POWER(2*$L$3/($L$3+M5),0.85)*U5)+(POWER($H$3/H5,0.5)*POWER(2*$O$3/($O$3+P5),0.85)*U5))/2))</x:f>
        <x:v>113.92178580671897</x:v>
      </x:c>
      <x:c r="X5" s="4" t="n">
        <x:f>100*SQRT((((POWER(I5/$I$3,0.5)*POWER(2*L5/(L5+$M$3),0.85))+(POWER(I5/$I$3,0.5)*POWER(2*O5/(O5+$P$3),0.85)))/2)*(POWER(N5/$N$3,0.2)*POWER(Q5/$Q$3,0.1)*POWER(R5/$R$3,0.1)*POWER(S5/$S$3,0.1))/(((POWER($I$3/I5,0.5)*POWER(2*$L$3/($L$3+M5),0.85)*V5)+(POWER($I$3/I5,0.5)*POWER(2*$O$3/($O$3+P5),0.85)*V5))/2))</x:f>
        <x:v>99.96596134020722</x:v>
      </x:c>
      <x:c r="Y5" s="4" t="n">
        <x:f>X5-D5</x:f>
        <x:v>-0.03403865979278464</x:v>
      </x:c>
      <x:c r="Z5" s="4" t="str">
        <x:f>IF(ABS(Y5/D5)&lt;=0.1,"IN BAND","REVIEW")</x:f>
        <x:v>IN BAND</x:v>
      </x:c>
      <x:c r="AA5" s="5" t="inlineStr">
        <x:is>
          <x:t xml:space="preserve">Base untransformed target must remain within 5% of Human</x:t>
        </x:is>
      </x:c>
    </x:row>
    <x:row r="6">
      <x:c r="A6" t="inlineStr">
        <x:is>
          <x:t xml:space="preserve">Saiyan</x:t>
        </x:is>
      </x:c>
      <x:c r="B6" t="inlineStr">
        <x:is>
          <x:t xml:space="preserve">Low Class</x:t>
        </x:is>
      </x:c>
      <x:c r="C6" t="inlineStr">
        <x:is>
          <x:t xml:space="preserve">Standard</x:t>
        </x:is>
      </x:c>
      <x:c r="D6">
        <x:v>100</x:v>
      </x:c>
      <x:c r="E6" s="3">
        <x:v>2</x:v>
      </x:c>
      <x:c r="F6" s="3">
        <x:v>1</x:v>
      </x:c>
      <x:c r="G6" s="3">
        <x:v>0.77</x:v>
      </x:c>
      <x:c r="H6" s="4" t="n">
        <x:f>E6*F6</x:f>
        <x:v>2</x:v>
      </x:c>
      <x:c r="I6" s="4" t="n">
        <x:f>E6*G6</x:f>
        <x:v>1.54</x:v>
      </x:c>
      <x:c r="J6">
        <x:v>37</x:v>
      </x:c>
      <x:c r="K6" s="3">
        <x:v>1.5</x:v>
      </x:c>
      <x:c r="L6" s="3">
        <x:v>1.5</x:v>
      </x:c>
      <x:c r="M6" s="3">
        <x:v>2</x:v>
      </x:c>
      <x:c r="N6" s="3">
        <x:v>1.5</x:v>
      </x:c>
      <x:c r="O6" s="3">
        <x:v>1.5</x:v>
      </x:c>
      <x:c r="P6" s="3">
        <x:v>1.9</x:v>
      </x:c>
      <x:c r="Q6" s="3">
        <x:v>1.4</x:v>
      </x:c>
      <x:c r="R6" s="3">
        <x:v>1.4</x:v>
      </x:c>
      <x:c r="S6" s="3">
        <x:v>1.6</x:v>
      </x:c>
      <x:c r="T6" s="3">
        <x:v>1</x:v>
      </x:c>
      <x:c r="U6" s="3">
        <x:v>1</x:v>
      </x:c>
      <x:c r="V6" s="3">
        <x:v>1</x:v>
      </x:c>
      <x:c r="W6" s="4" t="n">
        <x:f>100*SQRT((((POWER(H6/$H$3,0.5)*POWER(2*L6/(L6+$M$3),0.85))+(POWER(H6/$H$3,0.5)*POWER(2*O6/(O6+$P$3),0.85)))/2)*(POWER(N6/$N$3,0.2)*POWER(Q6/$Q$3,0.1)*POWER(R6/$R$3,0.1)*POWER(S6/$S$3,0.1))/(((POWER($H$3/H6,0.5)*POWER(2*$L$3/($L$3+M6),0.85)*U6)+(POWER($H$3/H6,0.5)*POWER(2*$O$3/($O$3+P6),0.85)*U6))/2))</x:f>
        <x:v>113.38310921574532</x:v>
      </x:c>
      <x:c r="X6" s="4" t="n">
        <x:f>100*SQRT((((POWER(I6/$I$3,0.5)*POWER(2*L6/(L6+$M$3),0.85))+(POWER(I6/$I$3,0.5)*POWER(2*O6/(O6+$P$3),0.85)))/2)*(POWER(N6/$N$3,0.2)*POWER(Q6/$Q$3,0.1)*POWER(R6/$R$3,0.1)*POWER(S6/$S$3,0.1))/(((POWER($I$3/I6,0.5)*POWER(2*$L$3/($L$3+M6),0.85)*V6)+(POWER($I$3/I6,0.5)*POWER(2*$O$3/($O$3+P6),0.85)*V6))/2))</x:f>
        <x:v>99.49327454999569</x:v>
      </x:c>
      <x:c r="Y6" s="4" t="n">
        <x:f>X6-D6</x:f>
        <x:v>-0.5067254500043106</x:v>
      </x:c>
      <x:c r="Z6" s="4" t="str">
        <x:f>IF(ABS(Y6/D6)&lt;=0.1,"IN BAND","REVIEW")</x:f>
        <x:v>IN BAND</x:v>
      </x:c>
      <x:c r="AA6" s="5" t="inlineStr">
        <x:is>
          <x:t xml:space="preserve">Defensive base profile; easier SSJ progression excluded here</x:t>
        </x:is>
      </x:c>
    </x:row>
    <x:row r="7">
      <x:c r="A7" t="inlineStr">
        <x:is>
          <x:t xml:space="preserve">Saiyan</x:t>
        </x:is>
      </x:c>
      <x:c r="B7" t="inlineStr">
        <x:is>
          <x:t xml:space="preserve">Elite</x:t>
        </x:is>
      </x:c>
      <x:c r="C7" t="inlineStr">
        <x:is>
          <x:t xml:space="preserve">Standard</x:t>
        </x:is>
      </x:c>
      <x:c r="D7">
        <x:v>100</x:v>
      </x:c>
      <x:c r="E7" s="3">
        <x:v>2</x:v>
      </x:c>
      <x:c r="F7" s="3">
        <x:v>1</x:v>
      </x:c>
      <x:c r="G7" s="3">
        <x:v>0.77</x:v>
      </x:c>
      <x:c r="H7" s="4" t="n">
        <x:f>E7*F7</x:f>
        <x:v>2</x:v>
      </x:c>
      <x:c r="I7" s="4" t="n">
        <x:f>E7*G7</x:f>
        <x:v>1.54</x:v>
      </x:c>
      <x:c r="J7">
        <x:v>34</x:v>
      </x:c>
      <x:c r="K7" s="3">
        <x:v>1.5</x:v>
      </x:c>
      <x:c r="L7" s="3">
        <x:v>2</x:v>
      </x:c>
      <x:c r="M7" s="3">
        <x:v>1.4</x:v>
      </x:c>
      <x:c r="N7" s="3">
        <x:v>2</x:v>
      </x:c>
      <x:c r="O7" s="3">
        <x:v>1.9</x:v>
      </x:c>
      <x:c r="P7" s="3">
        <x:v>1.4</x:v>
      </x:c>
      <x:c r="Q7" s="3">
        <x:v>1.4</x:v>
      </x:c>
      <x:c r="R7" s="3">
        <x:v>1.4</x:v>
      </x:c>
      <x:c r="S7" s="3">
        <x:v>1</x:v>
      </x:c>
      <x:c r="T7" s="3">
        <x:v>1</x:v>
      </x:c>
      <x:c r="U7" s="3">
        <x:v>1</x:v>
      </x:c>
      <x:c r="V7" s="3">
        <x:v>1</x:v>
      </x:c>
      <x:c r="W7" s="4" t="n">
        <x:f>100*SQRT((((POWER(H7/$H$3,0.5)*POWER(2*L7/(L7+$M$3),0.85))+(POWER(H7/$H$3,0.5)*POWER(2*O7/(O7+$P$3),0.85)))/2)*(POWER(N7/$N$3,0.2)*POWER(Q7/$Q$3,0.1)*POWER(R7/$R$3,0.1)*POWER(S7/$S$3,0.1))/(((POWER($H$3/H7,0.5)*POWER(2*$L$3/($L$3+M7),0.85)*U7)+(POWER($H$3/H7,0.5)*POWER(2*$O$3/($O$3+P7),0.85)*U7))/2))</x:f>
        <x:v>113.2045142809036</x:v>
      </x:c>
      <x:c r="X7" s="4" t="n">
        <x:f>100*SQRT((((POWER(I7/$I$3,0.5)*POWER(2*L7/(L7+$M$3),0.85))+(POWER(I7/$I$3,0.5)*POWER(2*O7/(O7+$P$3),0.85)))/2)*(POWER(N7/$N$3,0.2)*POWER(Q7/$Q$3,0.1)*POWER(R7/$R$3,0.1)*POWER(S7/$S$3,0.1))/(((POWER($I$3/I7,0.5)*POWER(2*$L$3/($L$3+M7),0.85)*V7)+(POWER($I$3/I7,0.5)*POWER(2*$O$3/($O$3+P7),0.85)*V7))/2))</x:f>
        <x:v>99.3365581306952</x:v>
      </x:c>
      <x:c r="Y7" s="4" t="n">
        <x:f>X7-D7</x:f>
        <x:v>-0.6634418693048048</x:v>
      </x:c>
      <x:c r="Z7" s="4" t="str">
        <x:f>IF(ABS(Y7/D7)&lt;=0.1,"IN BAND","REVIEW")</x:f>
        <x:v>IN BAND</x:v>
      </x:c>
      <x:c r="AA7" s="5" t="inlineStr">
        <x:is>
          <x:t xml:space="preserve">Offensive base profile; starting techniques excluded here</x:t>
        </x:is>
      </x:c>
    </x:row>
    <x:row r="8">
      <x:c r="A8" t="inlineStr">
        <x:is>
          <x:t xml:space="preserve">Half Saiyan</x:t>
        </x:is>
      </x:c>
      <x:c r="B8" t="inlineStr">
        <x:is>
          <x:t xml:space="preserve">Hybrid Potential</x:t>
        </x:is>
      </x:c>
      <x:c r="C8" t="inlineStr">
        <x:is>
          <x:t xml:space="preserve">Standard</x:t>
        </x:is>
      </x:c>
      <x:c r="D8">
        <x:v>100</x:v>
      </x:c>
      <x:c r="E8" s="3">
        <x:v>2.5</x:v>
      </x:c>
      <x:c r="F8" s="3">
        <x:v>1</x:v>
      </x:c>
      <x:c r="G8" s="3">
        <x:v>0.69</x:v>
      </x:c>
      <x:c r="H8" s="4" t="n">
        <x:f>E8*F8</x:f>
        <x:v>2.5</x:v>
      </x:c>
      <x:c r="I8" s="4" t="n">
        <x:f>E8*G8</x:f>
        <x:v>1.7249999999999999</x:v>
      </x:c>
      <x:c r="J8">
        <x:v>44</x:v>
      </x:c>
      <x:c r="K8" s="3">
        <x:v>1.6</x:v>
      </x:c>
      <x:c r="L8" s="3">
        <x:v>1.6</x:v>
      </x:c>
      <x:c r="M8" s="3">
        <x:v>1.6</x:v>
      </x:c>
      <x:c r="N8" s="3">
        <x:v>1.6</x:v>
      </x:c>
      <x:c r="O8" s="3">
        <x:v>1.5</x:v>
      </x:c>
      <x:c r="P8" s="3">
        <x:v>1.5</x:v>
      </x:c>
      <x:c r="Q8" s="3">
        <x:v>1.5</x:v>
      </x:c>
      <x:c r="R8" s="3">
        <x:v>1.5</x:v>
      </x:c>
      <x:c r="S8" s="3">
        <x:v>1</x:v>
      </x:c>
      <x:c r="T8" s="3">
        <x:v>1</x:v>
      </x:c>
      <x:c r="U8" s="3">
        <x:v>1</x:v>
      </x:c>
      <x:c r="V8" s="3">
        <x:v>1</x:v>
      </x:c>
      <x:c r="W8" s="4" t="n">
        <x:f>100*SQRT((((POWER(H8/$H$3,0.5)*POWER(2*L8/(L8+$M$3),0.85))+(POWER(H8/$H$3,0.5)*POWER(2*O8/(O8+$P$3),0.85)))/2)*(POWER(N8/$N$3,0.2)*POWER(Q8/$Q$3,0.1)*POWER(R8/$R$3,0.1)*POWER(S8/$S$3,0.1))/(((POWER($H$3/H8,0.5)*POWER(2*$L$3/($L$3+M8),0.85)*U8)+(POWER($H$3/H8,0.5)*POWER(2*$O$3/($O$3+P8),0.85)*U8))/2))</x:f>
        <x:v>120.68339053310002</x:v>
      </x:c>
      <x:c r="X8" s="4" t="n">
        <x:f>100*SQRT((((POWER(I8/$I$3,0.5)*POWER(2*L8/(L8+$M$3),0.85))+(POWER(I8/$I$3,0.5)*POWER(2*O8/(O8+$P$3),0.85)))/2)*(POWER(N8/$N$3,0.2)*POWER(Q8/$Q$3,0.1)*POWER(R8/$R$3,0.1)*POWER(S8/$S$3,0.1))/(((POWER($I$3/I8,0.5)*POWER(2*$L$3/($L$3+M8),0.85)*V8)+(POWER($I$3/I8,0.5)*POWER(2*$O$3/($O$3+P8),0.85)*V8))/2))</x:f>
        <x:v>100.24715316601099</x:v>
      </x:c>
      <x:c r="Y8" s="4" t="n">
        <x:f>X8-D8</x:f>
        <x:v>0.2471531660109889</x:v>
      </x:c>
      <x:c r="Z8" s="4" t="str">
        <x:f>IF(ABS(Y8/D8)&lt;=0.1,"IN BAND","REVIEW")</x:f>
        <x:v>IN BAND</x:v>
      </x:c>
      <x:c r="AA8" s="5" t="inlineStr">
        <x:is>
          <x:t xml:space="preserve">High anger and transformations are reported separately</x:t>
        </x:is>
      </x:c>
    </x:row>
    <x:row r="9">
      <x:c r="A9" t="inlineStr">
        <x:is>
          <x:t xml:space="preserve">Legendary Saiyan</x:t>
        </x:is>
      </x:c>
      <x:c r="B9" t="inlineStr">
        <x:is>
          <x:t xml:space="preserve">Legendary Berserker</x:t>
        </x:is>
      </x:c>
      <x:c r="C9" t="inlineStr">
        <x:is>
          <x:t xml:space="preserve">Exceptional</x:t>
        </x:is>
      </x:c>
      <x:c r="D9">
        <x:v>125</x:v>
      </x:c>
      <x:c r="E9" s="3">
        <x:v>2</x:v>
      </x:c>
      <x:c r="F9" s="3">
        <x:v>1.55</x:v>
      </x:c>
      <x:c r="G9" s="3">
        <x:v>1.65</x:v>
      </x:c>
      <x:c r="H9" s="4" t="n">
        <x:f>E9*F9</x:f>
        <x:v>3.1</x:v>
      </x:c>
      <x:c r="I9" s="4" t="n">
        <x:f>E9*G9</x:f>
        <x:v>3.3</x:v>
      </x:c>
      <x:c r="J9">
        <x:v>34</x:v>
      </x:c>
      <x:c r="K9" s="3">
        <x:v>3.75</x:v>
      </x:c>
      <x:c r="L9" s="3">
        <x:v>1.5</x:v>
      </x:c>
      <x:c r="M9" s="3">
        <x:v>2.2</x:v>
      </x:c>
      <x:c r="N9" s="3">
        <x:v>1.4</x:v>
      </x:c>
      <x:c r="O9" s="3">
        <x:v>1.4</x:v>
      </x:c>
      <x:c r="P9" s="3">
        <x:v>2.2</x:v>
      </x:c>
      <x:c r="Q9" s="3">
        <x:v>1.4</x:v>
      </x:c>
      <x:c r="R9" s="3">
        <x:v>1.4</x:v>
      </x:c>
      <x:c r="S9" s="3">
        <x:v>1</x:v>
      </x:c>
      <x:c r="T9" s="3">
        <x:v>1</x:v>
      </x:c>
      <x:c r="U9" s="3">
        <x:v>0.6</x:v>
      </x:c>
      <x:c r="V9" s="3">
        <x:v>0.9</x:v>
      </x:c>
      <x:c r="W9" s="4" t="n">
        <x:f>100*SQRT((((POWER(H9/$H$3,0.5)*POWER(2*L9/(L9+$M$3),0.85))+(POWER(H9/$H$3,0.5)*POWER(2*O9/(O9+$P$3),0.85)))/2)*(POWER(N9/$N$3,0.2)*POWER(Q9/$Q$3,0.1)*POWER(R9/$R$3,0.1)*POWER(S9/$S$3,0.1))/(((POWER($H$3/H9,0.5)*POWER(2*$L$3/($L$3+M9),0.85)*U9)+(POWER($H$3/H9,0.5)*POWER(2*$O$3/($O$3+P9),0.85)*U9))/2))</x:f>
        <x:v>180.09236711486906</x:v>
      </x:c>
      <x:c r="X9" s="4" t="n">
        <x:f>100*SQRT((((POWER(I9/$I$3,0.5)*POWER(2*L9/(L9+$M$3),0.85))+(POWER(I9/$I$3,0.5)*POWER(2*O9/(O9+$P$3),0.85)))/2)*(POWER(N9/$N$3,0.2)*POWER(Q9/$Q$3,0.1)*POWER(R9/$R$3,0.1)*POWER(S9/$S$3,0.1))/(((POWER($I$3/I9,0.5)*POWER(2*$L$3/($L$3+M9),0.85)*V9)+(POWER($I$3/I9,0.5)*POWER(2*$O$3/($O$3+P9),0.85)*V9))/2))</x:f>
        <x:v>151.714049283173</x:v>
      </x:c>
      <x:c r="Y9" s="4" t="n">
        <x:f>X9-D9</x:f>
        <x:v>26.71404928317301</x:v>
      </x:c>
      <x:c r="Z9" s="4" t="str">
        <x:f>IF(ABS(Y9/D9)&lt;=0.1,"IN BAND","REVIEW")</x:f>
        <x:v>REVIEW</x:v>
      </x:c>
      <x:c r="AA9" s="5" t="inlineStr">
        <x:is>
          <x:t xml:space="preserve">Creation diagnostic; sustainable LSSJ target is authoritative</x:t>
        </x:is>
      </x:c>
    </x:row>
    <x:row r="10">
      <x:c r="A10" t="inlineStr">
        <x:is>
          <x:t xml:space="preserve">Alien</x:t>
        </x:is>
      </x:c>
      <x:c r="B10" t="inlineStr">
        <x:is>
          <x:t xml:space="preserve">Scholar</x:t>
        </x:is>
      </x:c>
      <x:c r="C10" t="inlineStr">
        <x:is>
          <x:t xml:space="preserve">Standard</x:t>
        </x:is>
      </x:c>
      <x:c r="D10">
        <x:v>100</x:v>
      </x:c>
      <x:c r="E10" s="3">
        <x:v>1.55</x:v>
      </x:c>
      <x:c r="F10" s="3">
        <x:v>1</x:v>
      </x:c>
      <x:c r="G10" s="3">
        <x:v>1</x:v>
      </x:c>
      <x:c r="H10" s="4" t="n">
        <x:f>E10*F10</x:f>
        <x:v>1.55</x:v>
      </x:c>
      <x:c r="I10" s="4" t="n">
        <x:f>E10*G10</x:f>
        <x:v>1.55</x:v>
      </x:c>
      <x:c r="J10">
        <x:v>75</x:v>
      </x:c>
      <x:c r="K10" s="3">
        <x:v>1.8</x:v>
      </x:c>
      <x:c r="L10" s="3">
        <x:v>1.8</x:v>
      </x:c>
      <x:c r="M10" s="3">
        <x:v>1.8</x:v>
      </x:c>
      <x:c r="N10" s="3">
        <x:v>1.7</x:v>
      </x:c>
      <x:c r="O10" s="3">
        <x:v>1.7</x:v>
      </x:c>
      <x:c r="P10" s="3">
        <x:v>1.7</x:v>
      </x:c>
      <x:c r="Q10" s="3">
        <x:v>1.7</x:v>
      </x:c>
      <x:c r="R10" s="3">
        <x:v>1.7</x:v>
      </x:c>
      <x:c r="S10" s="3">
        <x:v>0.6</x:v>
      </x:c>
      <x:c r="T10" s="3">
        <x:v>0.6</x:v>
      </x:c>
      <x:c r="U10" s="3">
        <x:v>1</x:v>
      </x:c>
      <x:c r="V10" s="3">
        <x:v>1</x:v>
      </x:c>
      <x:c r="W10" s="4" t="n">
        <x:f>100*SQRT((((POWER(H10/$H$3,0.5)*POWER(2*L10/(L10+$M$3),0.85))+(POWER(H10/$H$3,0.5)*POWER(2*O10/(O10+$P$3),0.85)))/2)*(POWER(N10/$N$3,0.2)*POWER(Q10/$Q$3,0.1)*POWER(R10/$R$3,0.1)*POWER(S10/$S$3,0.1))/(((POWER($H$3/H10,0.5)*POWER(2*$L$3/($L$3+M10),0.85)*U10)+(POWER($H$3/H10,0.5)*POWER(2*$O$3/($O$3+P10),0.85)*U10))/2))</x:f>
        <x:v>99.36531730945765</x:v>
      </x:c>
      <x:c r="X10" s="4" t="n">
        <x:f>100*SQRT((((POWER(I10/$I$3,0.5)*POWER(2*L10/(L10+$M$3),0.85))+(POWER(I10/$I$3,0.5)*POWER(2*O10/(O10+$P$3),0.85)))/2)*(POWER(N10/$N$3,0.2)*POWER(Q10/$Q$3,0.1)*POWER(R10/$R$3,0.1)*POWER(S10/$S$3,0.1))/(((POWER($I$3/I10,0.5)*POWER(2*$L$3/($L$3+M10),0.85)*V10)+(POWER($I$3/I10,0.5)*POWER(2*$O$3/($O$3+P10),0.85)*V10))/2))</x:f>
        <x:v>99.36531730945765</x:v>
      </x:c>
      <x:c r="Y10" s="4" t="n">
        <x:f>X10-D10</x:f>
        <x:v>-0.6346826905423484</x:v>
      </x:c>
      <x:c r="Z10" s="4" t="str">
        <x:f>IF(ABS(Y10/D10)&lt;=0.1,"IN BAND","REVIEW")</x:f>
        <x:v>IN BAND</x:v>
      </x:c>
      <x:c r="AA10" s="5" t="inlineStr">
        <x:is>
          <x:t xml:space="preserve">Utility profile</x:t>
        </x:is>
      </x:c>
    </x:row>
    <x:row r="11">
      <x:c r="A11" t="inlineStr">
        <x:is>
          <x:t xml:space="preserve">Alien</x:t>
        </x:is>
      </x:c>
      <x:c r="B11" t="inlineStr">
        <x:is>
          <x:t xml:space="preserve">Predator</x:t>
        </x:is>
      </x:c>
      <x:c r="C11" t="inlineStr">
        <x:is>
          <x:t xml:space="preserve">Standard</x:t>
        </x:is>
      </x:c>
      <x:c r="D11">
        <x:v>100</x:v>
      </x:c>
      <x:c r="E11" s="3">
        <x:v>1.55</x:v>
      </x:c>
      <x:c r="F11" s="3">
        <x:v>1</x:v>
      </x:c>
      <x:c r="G11" s="3">
        <x:v>1</x:v>
      </x:c>
      <x:c r="H11" s="4" t="n">
        <x:f>E11*F11</x:f>
        <x:v>1.55</x:v>
      </x:c>
      <x:c r="I11" s="4" t="n">
        <x:f>E11*G11</x:f>
        <x:v>1.55</x:v>
      </x:c>
      <x:c r="J11">
        <x:v>75</x:v>
      </x:c>
      <x:c r="K11" s="3">
        <x:v>1.8</x:v>
      </x:c>
      <x:c r="L11" s="3">
        <x:v>1.8</x:v>
      </x:c>
      <x:c r="M11" s="3">
        <x:v>1.8</x:v>
      </x:c>
      <x:c r="N11" s="3">
        <x:v>1.7</x:v>
      </x:c>
      <x:c r="O11" s="3">
        <x:v>1.7</x:v>
      </x:c>
      <x:c r="P11" s="3">
        <x:v>1.7</x:v>
      </x:c>
      <x:c r="Q11" s="3">
        <x:v>1.7</x:v>
      </x:c>
      <x:c r="R11" s="3">
        <x:v>1.7</x:v>
      </x:c>
      <x:c r="S11" s="3">
        <x:v>1.1</x:v>
      </x:c>
      <x:c r="T11" s="3">
        <x:v>0.6</x:v>
      </x:c>
      <x:c r="U11" s="3">
        <x:v>1</x:v>
      </x:c>
      <x:c r="V11" s="3">
        <x:v>1</x:v>
      </x:c>
      <x:c r="W11" s="4" t="n">
        <x:f>100*SQRT((((POWER(H11/$H$3,0.5)*POWER(2*L11/(L11+$M$3),0.85))+(POWER(H11/$H$3,0.5)*POWER(2*O11/(O11+$P$3),0.85)))/2)*(POWER(N11/$N$3,0.2)*POWER(Q11/$Q$3,0.1)*POWER(R11/$R$3,0.1)*POWER(S11/$S$3,0.1))/(((POWER($H$3/H11,0.5)*POWER(2*$L$3/($L$3+M11),0.85)*U11)+(POWER($H$3/H11,0.5)*POWER(2*$O$3/($O$3+P11),0.85)*U11))/2))</x:f>
        <x:v>102.42285924699517</x:v>
      </x:c>
      <x:c r="X11" s="4" t="n">
        <x:f>100*SQRT((((POWER(I11/$I$3,0.5)*POWER(2*L11/(L11+$M$3),0.85))+(POWER(I11/$I$3,0.5)*POWER(2*O11/(O11+$P$3),0.85)))/2)*(POWER(N11/$N$3,0.2)*POWER(Q11/$Q$3,0.1)*POWER(R11/$R$3,0.1)*POWER(S11/$S$3,0.1))/(((POWER($I$3/I11,0.5)*POWER(2*$L$3/($L$3+M11),0.85)*V11)+(POWER($I$3/I11,0.5)*POWER(2*$O$3/($O$3+P11),0.85)*V11))/2))</x:f>
        <x:v>102.42285924699517</x:v>
      </x:c>
      <x:c r="Y11" s="4" t="n">
        <x:f>X11-D11</x:f>
        <x:v>2.4228592469951735</x:v>
      </x:c>
      <x:c r="Z11" s="4" t="str">
        <x:f>IF(ABS(Y11/D11)&lt;=0.1,"IN BAND","REVIEW")</x:f>
        <x:v>IN BAND</x:v>
      </x:c>
      <x:c r="AA11" s="5" t="inlineStr">
        <x:is>
          <x:t xml:space="preserve">Regeneration, precognition and zenkai utility</x:t>
        </x:is>
      </x:c>
    </x:row>
    <x:row r="12">
      <x:c r="A12" t="inlineStr">
        <x:is>
          <x:t xml:space="preserve">Alien</x:t>
        </x:is>
      </x:c>
      <x:c r="B12" t="inlineStr">
        <x:is>
          <x:t xml:space="preserve">Shifter</x:t>
        </x:is>
      </x:c>
      <x:c r="C12" t="inlineStr">
        <x:is>
          <x:t xml:space="preserve">Standard</x:t>
        </x:is>
      </x:c>
      <x:c r="D12">
        <x:v>100</x:v>
      </x:c>
      <x:c r="E12" s="3">
        <x:v>1.55</x:v>
      </x:c>
      <x:c r="F12" s="3">
        <x:v>1</x:v>
      </x:c>
      <x:c r="G12" s="3">
        <x:v>1</x:v>
      </x:c>
      <x:c r="H12" s="4" t="n">
        <x:f>E12*F12</x:f>
        <x:v>1.55</x:v>
      </x:c>
      <x:c r="I12" s="4" t="n">
        <x:f>E12*G12</x:f>
        <x:v>1.55</x:v>
      </x:c>
      <x:c r="J12">
        <x:v>75</x:v>
      </x:c>
      <x:c r="K12" s="3">
        <x:v>1.8</x:v>
      </x:c>
      <x:c r="L12" s="3">
        <x:v>1.8</x:v>
      </x:c>
      <x:c r="M12" s="3">
        <x:v>1.8</x:v>
      </x:c>
      <x:c r="N12" s="3">
        <x:v>1.7</x:v>
      </x:c>
      <x:c r="O12" s="3">
        <x:v>1.7</x:v>
      </x:c>
      <x:c r="P12" s="3">
        <x:v>1.7</x:v>
      </x:c>
      <x:c r="Q12" s="3">
        <x:v>1.7</x:v>
      </x:c>
      <x:c r="R12" s="3">
        <x:v>1.7</x:v>
      </x:c>
      <x:c r="S12" s="3">
        <x:v>0.6</x:v>
      </x:c>
      <x:c r="T12" s="3">
        <x:v>0.6</x:v>
      </x:c>
      <x:c r="U12" s="3">
        <x:v>1</x:v>
      </x:c>
      <x:c r="V12" s="3">
        <x:v>1</x:v>
      </x:c>
      <x:c r="W12" s="4" t="n">
        <x:f>100*SQRT((((POWER(H12/$H$3,0.5)*POWER(2*L12/(L12+$M$3),0.85))+(POWER(H12/$H$3,0.5)*POWER(2*O12/(O12+$P$3),0.85)))/2)*(POWER(N12/$N$3,0.2)*POWER(Q12/$Q$3,0.1)*POWER(R12/$R$3,0.1)*POWER(S12/$S$3,0.1))/(((POWER($H$3/H12,0.5)*POWER(2*$L$3/($L$3+M12),0.85)*U12)+(POWER($H$3/H12,0.5)*POWER(2*$O$3/($O$3+P12),0.85)*U12))/2))</x:f>
        <x:v>99.36531730945765</x:v>
      </x:c>
      <x:c r="X12" s="4" t="n">
        <x:f>100*SQRT((((POWER(I12/$I$3,0.5)*POWER(2*L12/(L12+$M$3),0.85))+(POWER(I12/$I$3,0.5)*POWER(2*O12/(O12+$P$3),0.85)))/2)*(POWER(N12/$N$3,0.2)*POWER(Q12/$Q$3,0.1)*POWER(R12/$R$3,0.1)*POWER(S12/$S$3,0.1))/(((POWER($I$3/I12,0.5)*POWER(2*$L$3/($L$3+M12),0.85)*V12)+(POWER($I$3/I12,0.5)*POWER(2*$O$3/($O$3+P12),0.85)*V12))/2))</x:f>
        <x:v>99.36531730945765</x:v>
      </x:c>
      <x:c r="Y12" s="4" t="n">
        <x:f>X12-D12</x:f>
        <x:v>-0.6346826905423484</x:v>
      </x:c>
      <x:c r="Z12" s="4" t="str">
        <x:f>IF(ABS(Y12/D12)&lt;=0.1,"IN BAND","REVIEW")</x:f>
        <x:v>IN BAND</x:v>
      </x:c>
      <x:c r="AA12" s="5" t="inlineStr">
        <x:is>
          <x:t xml:space="preserve">Giant Form drift fixed; transformations excluded from base row</x:t>
        </x:is>
      </x:c>
    </x:row>
    <x:row r="13">
      <x:c r="A13" t="inlineStr">
        <x:is>
          <x:t xml:space="preserve">Alien</x:t>
        </x:is>
      </x:c>
      <x:c r="B13" t="inlineStr">
        <x:is>
          <x:t xml:space="preserve">Apex Genome</x:t>
        </x:is>
      </x:c>
      <x:c r="C13" t="inlineStr">
        <x:is>
          <x:t xml:space="preserve">Standard</x:t>
        </x:is>
      </x:c>
      <x:c r="D13">
        <x:v>100</x:v>
      </x:c>
      <x:c r="E13" s="3">
        <x:v>1.55</x:v>
      </x:c>
      <x:c r="F13" s="3">
        <x:v>1.8</x:v>
      </x:c>
      <x:c r="G13" s="3">
        <x:v>0.95</x:v>
      </x:c>
      <x:c r="H13" s="4" t="n">
        <x:f>E13*F13</x:f>
        <x:v>2.79</x:v>
      </x:c>
      <x:c r="I13" s="4" t="n">
        <x:f>E13*G13</x:f>
        <x:v>1.4725</x:v>
      </x:c>
      <x:c r="J13">
        <x:v>75</x:v>
      </x:c>
      <x:c r="K13" s="3">
        <x:v>1.8</x:v>
      </x:c>
      <x:c r="L13" s="3">
        <x:v>1.8</x:v>
      </x:c>
      <x:c r="M13" s="3">
        <x:v>1.8</x:v>
      </x:c>
      <x:c r="N13" s="3">
        <x:v>1.7</x:v>
      </x:c>
      <x:c r="O13" s="3">
        <x:v>1.7</x:v>
      </x:c>
      <x:c r="P13" s="3">
        <x:v>1.7</x:v>
      </x:c>
      <x:c r="Q13" s="3">
        <x:v>1.7</x:v>
      </x:c>
      <x:c r="R13" s="3">
        <x:v>1.7</x:v>
      </x:c>
      <x:c r="S13" s="3">
        <x:v>1.1</x:v>
      </x:c>
      <x:c r="T13" s="3">
        <x:v>0.6</x:v>
      </x:c>
      <x:c r="U13" s="3">
        <x:v>0.6</x:v>
      </x:c>
      <x:c r="V13" s="3">
        <x:v>1</x:v>
      </x:c>
      <x:c r="W13" s="4" t="n">
        <x:f>100*SQRT((((POWER(H13/$H$3,0.5)*POWER(2*L13/(L13+$M$3),0.85))+(POWER(H13/$H$3,0.5)*POWER(2*O13/(O13+$P$3),0.85)))/2)*(POWER(N13/$N$3,0.2)*POWER(Q13/$Q$3,0.1)*POWER(R13/$R$3,0.1)*POWER(S13/$S$3,0.1))/(((POWER($H$3/H13,0.5)*POWER(2*$L$3/($L$3+M13),0.85)*U13)+(POWER($H$3/H13,0.5)*POWER(2*$O$3/($O$3+P13),0.85)*U13))/2))</x:f>
        <x:v>177.40159607227142</x:v>
      </x:c>
      <x:c r="X13" s="4" t="n">
        <x:f>100*SQRT((((POWER(I13/$I$3,0.5)*POWER(2*L13/(L13+$M$3),0.85))+(POWER(I13/$I$3,0.5)*POWER(2*O13/(O13+$P$3),0.85)))/2)*(POWER(N13/$N$3,0.2)*POWER(Q13/$Q$3,0.1)*POWER(R13/$R$3,0.1)*POWER(S13/$S$3,0.1))/(((POWER($I$3/I13,0.5)*POWER(2*$L$3/($L$3+M13),0.85)*V13)+(POWER($I$3/I13,0.5)*POWER(2*$O$3/($O$3+P13),0.85)*V13))/2))</x:f>
        <x:v>99.82945452877769</x:v>
      </x:c>
      <x:c r="Y13" s="4" t="n">
        <x:f>X13-D13</x:f>
        <x:v>-0.17054547122231156</x:v>
      </x:c>
      <x:c r="Z13" s="4" t="str">
        <x:f>IF(ABS(Y13/D13)&lt;=0.1,"IN BAND","REVIEW")</x:f>
        <x:v>IN BAND</x:v>
      </x:c>
      <x:c r="AA13" s="5" t="inlineStr">
        <x:is>
          <x:t xml:space="preserve">Jiren package normalized because Alien is not an exceptional tier</x:t>
        </x:is>
      </x:c>
    </x:row>
    <x:row r="14">
      <x:c r="A14" t="inlineStr">
        <x:is>
          <x:t xml:space="preserve">Android</x:t>
        </x:is>
      </x:c>
      <x:c r="B14" t="inlineStr">
        <x:is>
          <x:t xml:space="preserve">Chassis / Infiltrator</x:t>
        </x:is>
      </x:c>
      <x:c r="C14" t="inlineStr">
        <x:is>
          <x:t xml:space="preserve">Exceptional</x:t>
        </x:is>
      </x:c>
      <x:c r="D14">
        <x:v>125</x:v>
      </x:c>
      <x:c r="E14" s="3">
        <x:v>1</x:v>
      </x:c>
      <x:c r="F14" s="3">
        <x:v>1</x:v>
      </x:c>
      <x:c r="G14" s="3">
        <x:v>1.35</x:v>
      </x:c>
      <x:c r="H14" s="4" t="n">
        <x:f>E14*F14</x:f>
        <x:v>1</x:v>
      </x:c>
      <x:c r="I14" s="4" t="n">
        <x:f>E14*G14</x:f>
        <x:v>1.35</x:v>
      </x:c>
      <x:c r="J14">
        <x:v>61</x:v>
      </x:c>
      <x:c r="K14" s="3">
        <x:v>1.8</x:v>
      </x:c>
      <x:c r="L14" s="3">
        <x:v>1.8</x:v>
      </x:c>
      <x:c r="M14" s="3">
        <x:v>1.8</x:v>
      </x:c>
      <x:c r="N14" s="3">
        <x:v>1.8</x:v>
      </x:c>
      <x:c r="O14" s="3">
        <x:v>1.6</x:v>
      </x:c>
      <x:c r="P14" s="3">
        <x:v>1.7</x:v>
      </x:c>
      <x:c r="Q14" s="3">
        <x:v>1.7</x:v>
      </x:c>
      <x:c r="R14" s="3">
        <x:v>1.7</x:v>
      </x:c>
      <x:c r="S14" s="3">
        <x:v>0.6</x:v>
      </x:c>
      <x:c r="T14" s="3">
        <x:v>0.6</x:v>
      </x:c>
      <x:c r="U14" s="3">
        <x:v>0.66</x:v>
      </x:c>
      <x:c r="V14" s="3">
        <x:v>0.55</x:v>
      </x:c>
      <x:c r="W14" s="4" t="n">
        <x:f>100*SQRT((((POWER(H14/$H$3,0.5)*POWER(2*L14/(L14+$M$3),0.85))+(POWER(H14/$H$3,0.5)*POWER(2*O14/(O14+$P$3),0.85)))/2)*(POWER(N14/$N$3,0.2)*POWER(Q14/$Q$3,0.1)*POWER(R14/$R$3,0.1)*POWER(S14/$S$3,0.1))/(((POWER($H$3/H14,0.5)*POWER(2*$L$3/($L$3+M14),0.85)*U14)+(POWER($H$3/H14,0.5)*POWER(2*$O$3/($O$3+P14),0.85)*U14))/2))</x:f>
        <x:v>98.13926831183667</x:v>
      </x:c>
      <x:c r="X14" s="4" t="n">
        <x:f>100*SQRT((((POWER(I14/$I$3,0.5)*POWER(2*L14/(L14+$M$3),0.85))+(POWER(I14/$I$3,0.5)*POWER(2*O14/(O14+$P$3),0.85)))/2)*(POWER(N14/$N$3,0.2)*POWER(Q14/$Q$3,0.1)*POWER(R14/$R$3,0.1)*POWER(S14/$S$3,0.1))/(((POWER($I$3/I14,0.5)*POWER(2*$L$3/($L$3+M14),0.85)*V14)+(POWER($I$3/I14,0.5)*POWER(2*$O$3/($O$3+P14),0.85)*V14))/2))</x:f>
        <x:v>124.9108958231744</x:v>
      </x:c>
      <x:c r="Y14" s="4" t="n">
        <x:f>X14-D14</x:f>
        <x:v>-0.08910417682560023</x:v>
      </x:c>
      <x:c r="Z14" s="4" t="str">
        <x:f>IF(ABS(Y14/D14)&lt;=0.1,"IN BAND","REVIEW")</x:f>
        <x:v>IN BAND</x:v>
      </x:c>
      <x:c r="AA14" s="5" t="inlineStr">
        <x:is>
          <x:t xml:space="preserve">Cyber BP and modules excluded from base row; no anger</x:t>
        </x:is>
      </x:c>
    </x:row>
    <x:row r="15">
      <x:c r="A15" t="inlineStr">
        <x:is>
          <x:t xml:space="preserve">Bio-Android</x:t>
        </x:is>
      </x:c>
      <x:c r="B15" t="inlineStr">
        <x:is>
          <x:t xml:space="preserve">Adaptive Genome</x:t>
        </x:is>
      </x:c>
      <x:c r="C15" t="inlineStr">
        <x:is>
          <x:t xml:space="preserve">Exceptional</x:t>
        </x:is>
      </x:c>
      <x:c r="D15">
        <x:v>125</x:v>
      </x:c>
      <x:c r="E15" s="3">
        <x:v>2.1</x:v>
      </x:c>
      <x:c r="F15" s="3">
        <x:v>1</x:v>
      </x:c>
      <x:c r="G15" s="3">
        <x:v>1.1</x:v>
      </x:c>
      <x:c r="H15" s="4" t="n">
        <x:f>E15*F15</x:f>
        <x:v>2.1</x:v>
      </x:c>
      <x:c r="I15" s="4" t="n">
        <x:f>E15*G15</x:f>
        <x:v>2.3100000000000005</x:v>
      </x:c>
      <x:c r="J15">
        <x:v>31</x:v>
      </x:c>
      <x:c r="K15" s="3">
        <x:v>1.4</x:v>
      </x:c>
      <x:c r="L15" s="3">
        <x:v>1.4</x:v>
      </x:c>
      <x:c r="M15" s="3">
        <x:v>1.4</x:v>
      </x:c>
      <x:c r="N15" s="3">
        <x:v>1.8</x:v>
      </x:c>
      <x:c r="O15" s="3">
        <x:v>1.4</x:v>
      </x:c>
      <x:c r="P15" s="3">
        <x:v>1.8</x:v>
      </x:c>
      <x:c r="Q15" s="3">
        <x:v>1.4</x:v>
      </x:c>
      <x:c r="R15" s="3">
        <x:v>1.3</x:v>
      </x:c>
      <x:c r="S15" s="3">
        <x:v>2</x:v>
      </x:c>
      <x:c r="T15" s="3">
        <x:v>1</x:v>
      </x:c>
      <x:c r="U15" s="3">
        <x:v>1</x:v>
      </x:c>
      <x:c r="V15" s="3">
        <x:v>0.89</x:v>
      </x:c>
      <x:c r="W15" s="4" t="n">
        <x:f>100*SQRT((((POWER(H15/$H$3,0.5)*POWER(2*L15/(L15+$M$3),0.85))+(POWER(H15/$H$3,0.5)*POWER(2*O15/(O15+$P$3),0.85)))/2)*(POWER(N15/$N$3,0.2)*POWER(Q15/$Q$3,0.1)*POWER(R15/$R$3,0.1)*POWER(S15/$S$3,0.1))/(((POWER($H$3/H15,0.5)*POWER(2*$L$3/($L$3+M15),0.85)*U15)+(POWER($H$3/H15,0.5)*POWER(2*$O$3/($O$3+P15),0.85)*U15))/2))</x:f>
        <x:v>112.44796809823505</x:v>
      </x:c>
      <x:c r="X15" s="4" t="n">
        <x:f>100*SQRT((((POWER(I15/$I$3,0.5)*POWER(2*L15/(L15+$M$3),0.85))+(POWER(I15/$I$3,0.5)*POWER(2*O15/(O15+$P$3),0.85)))/2)*(POWER(N15/$N$3,0.2)*POWER(Q15/$Q$3,0.1)*POWER(R15/$R$3,0.1)*POWER(S15/$S$3,0.1))/(((POWER($I$3/I15,0.5)*POWER(2*$L$3/($L$3+M15),0.85)*V15)+(POWER($I$3/I15,0.5)*POWER(2*$O$3/($O$3+P15),0.85)*V15))/2))</x:f>
        <x:v>125.01235930972629</x:v>
      </x:c>
      <x:c r="Y15" s="4" t="n">
        <x:f>X15-D15</x:f>
        <x:v>0.012359309726292622</x:v>
      </x:c>
      <x:c r="Z15" s="4" t="str">
        <x:f>IF(ABS(Y15/D15)&lt;=0.1,"IN BAND","REVIEW")</x:f>
        <x:v>IN BAND</x:v>
      </x:c>
      <x:c r="AA15" s="5" t="inlineStr">
        <x:is>
          <x:t xml:space="preserve">Forms and absorption excluded from base row</x:t>
        </x:is>
      </x:c>
    </x:row>
    <x:row r="16">
      <x:c r="A16" t="inlineStr">
        <x:is>
          <x:t xml:space="preserve">Demigod</x:t>
        </x:is>
      </x:c>
      <x:c r="B16" t="inlineStr">
        <x:is>
          <x:t xml:space="preserve">Divine Heritage</x:t>
        </x:is>
      </x:c>
      <x:c r="C16" t="inlineStr">
        <x:is>
          <x:t xml:space="preserve">Standard</x:t>
        </x:is>
      </x:c>
      <x:c r="D16">
        <x:v>100</x:v>
      </x:c>
      <x:c r="E16" s="3">
        <x:v>2.5</x:v>
      </x:c>
      <x:c r="F16" s="3">
        <x:v>1</x:v>
      </x:c>
      <x:c r="G16" s="3">
        <x:v>0.66</x:v>
      </x:c>
      <x:c r="H16" s="4" t="n">
        <x:f>E16*F16</x:f>
        <x:v>2.5</x:v>
      </x:c>
      <x:c r="I16" s="4" t="n">
        <x:f>E16*G16</x:f>
        <x:v>1.6500000000000001</x:v>
      </x:c>
      <x:c r="J16">
        <x:v>24</x:v>
      </x:c>
      <x:c r="K16" s="3">
        <x:v>1.4</x:v>
      </x:c>
      <x:c r="L16" s="3">
        <x:v>2</x:v>
      </x:c>
      <x:c r="M16" s="3">
        <x:v>1.9</x:v>
      </x:c>
      <x:c r="N16" s="3">
        <x:v>1.4</x:v>
      </x:c>
      <x:c r="O16" s="3">
        <x:v>1.3</x:v>
      </x:c>
      <x:c r="P16" s="3">
        <x:v>1.8</x:v>
      </x:c>
      <x:c r="Q16" s="3">
        <x:v>1.3</x:v>
      </x:c>
      <x:c r="R16" s="3">
        <x:v>1.3</x:v>
      </x:c>
      <x:c r="S16" s="3">
        <x:v>1</x:v>
      </x:c>
      <x:c r="T16" s="3">
        <x:v>1</x:v>
      </x:c>
      <x:c r="U16" s="3">
        <x:v>1</x:v>
      </x:c>
      <x:c r="V16" s="3">
        <x:v>1</x:v>
      </x:c>
      <x:c r="W16" s="4" t="n">
        <x:f>100*SQRT((((POWER(H16/$H$3,0.5)*POWER(2*L16/(L16+$M$3),0.85))+(POWER(H16/$H$3,0.5)*POWER(2*O16/(O16+$P$3),0.85)))/2)*(POWER(N16/$N$3,0.2)*POWER(Q16/$Q$3,0.1)*POWER(R16/$R$3,0.1)*POWER(S16/$S$3,0.1))/(((POWER($H$3/H16,0.5)*POWER(2*$L$3/($L$3+M16),0.85)*U16)+(POWER($H$3/H16,0.5)*POWER(2*$O$3/($O$3+P16),0.85)*U16))/2))</x:f>
        <x:v>122.76145714069028</x:v>
      </x:c>
      <x:c r="X16" s="4" t="n">
        <x:f>100*SQRT((((POWER(I16/$I$3,0.5)*POWER(2*L16/(L16+$M$3),0.85))+(POWER(I16/$I$3,0.5)*POWER(2*O16/(O16+$P$3),0.85)))/2)*(POWER(N16/$N$3,0.2)*POWER(Q16/$Q$3,0.1)*POWER(R16/$R$3,0.1)*POWER(S16/$S$3,0.1))/(((POWER($I$3/I16,0.5)*POWER(2*$L$3/($L$3+M16),0.85)*V16)+(POWER($I$3/I16,0.5)*POWER(2*$O$3/($O$3+P16),0.85)*V16))/2))</x:f>
        <x:v>99.73187924200394</x:v>
      </x:c>
      <x:c r="Y16" s="4" t="n">
        <x:f>X16-D16</x:f>
        <x:v>-0.2681207579960585</x:v>
      </x:c>
      <x:c r="Z16" s="4" t="str">
        <x:f>IF(ABS(Y16/D16)&lt;=0.1,"IN BAND","REVIEW")</x:f>
        <x:v>IN BAND</x:v>
      </x:c>
      <x:c r="AA16" s="5" t="inlineStr">
        <x:is>
          <x:t xml:space="preserve">High BP offset by the smallest discretionary budget</x:t>
        </x:is>
      </x:c>
    </x:row>
    <x:row r="17">
      <x:c r="A17" t="inlineStr">
        <x:is>
          <x:t xml:space="preserve">Demon</x:t>
        </x:is>
      </x:c>
      <x:c r="B17" t="inlineStr">
        <x:is>
          <x:t xml:space="preserve">Soulbound</x:t>
        </x:is>
      </x:c>
      <x:c r="C17" t="inlineStr">
        <x:is>
          <x:t xml:space="preserve">Standard</x:t>
        </x:is>
      </x:c>
      <x:c r="D17">
        <x:v>100</x:v>
      </x:c>
      <x:c r="E17" s="3">
        <x:v>1.85</x:v>
      </x:c>
      <x:c r="F17" s="3">
        <x:v>1</x:v>
      </x:c>
      <x:c r="G17" s="3">
        <x:v>1</x:v>
      </x:c>
      <x:c r="H17" s="4" t="n">
        <x:f>E17*F17</x:f>
        <x:v>1.85</x:v>
      </x:c>
      <x:c r="I17" s="4" t="n">
        <x:f>E17*G17</x:f>
        <x:v>1.85</x:v>
      </x:c>
      <x:c r="J17">
        <x:v>44</x:v>
      </x:c>
      <x:c r="K17" s="3">
        <x:v>1.6</x:v>
      </x:c>
      <x:c r="L17" s="3">
        <x:v>1.6</x:v>
      </x:c>
      <x:c r="M17" s="3">
        <x:v>1.6</x:v>
      </x:c>
      <x:c r="N17" s="3">
        <x:v>1.6</x:v>
      </x:c>
      <x:c r="O17" s="3">
        <x:v>1.5</x:v>
      </x:c>
      <x:c r="P17" s="3">
        <x:v>1.5</x:v>
      </x:c>
      <x:c r="Q17" s="3">
        <x:v>1.5</x:v>
      </x:c>
      <x:c r="R17" s="3">
        <x:v>1.5</x:v>
      </x:c>
      <x:c r="S17" s="3">
        <x:v>1</x:v>
      </x:c>
      <x:c r="T17" s="3">
        <x:v>1</x:v>
      </x:c>
      <x:c r="U17" s="3">
        <x:v>1</x:v>
      </x:c>
      <x:c r="V17" s="3">
        <x:v>1</x:v>
      </x:c>
      <x:c r="W17" s="4" t="n">
        <x:f>100*SQRT((((POWER(H17/$H$3,0.5)*POWER(2*L17/(L17+$M$3),0.85))+(POWER(H17/$H$3,0.5)*POWER(2*O17/(O17+$P$3),0.85)))/2)*(POWER(N17/$N$3,0.2)*POWER(Q17/$Q$3,0.1)*POWER(R17/$R$3,0.1)*POWER(S17/$S$3,0.1))/(((POWER($H$3/H17,0.5)*POWER(2*$L$3/($L$3+M17),0.85)*U17)+(POWER($H$3/H17,0.5)*POWER(2*$O$3/($O$3+P17),0.85)*U17))/2))</x:f>
        <x:v>103.81577796952593</x:v>
      </x:c>
      <x:c r="X17" s="4" t="n">
        <x:f>100*SQRT((((POWER(I17/$I$3,0.5)*POWER(2*L17/(L17+$M$3),0.85))+(POWER(I17/$I$3,0.5)*POWER(2*O17/(O17+$P$3),0.85)))/2)*(POWER(N17/$N$3,0.2)*POWER(Q17/$Q$3,0.1)*POWER(R17/$R$3,0.1)*POWER(S17/$S$3,0.1))/(((POWER($I$3/I17,0.5)*POWER(2*$L$3/($L$3+M17),0.85)*V17)+(POWER($I$3/I17,0.5)*POWER(2*$O$3/($O$3+P17),0.85)*V17))/2))</x:f>
        <x:v>103.81577796952593</x:v>
      </x:c>
      <x:c r="Y17" s="4" t="n">
        <x:f>X17-D17</x:f>
        <x:v>3.815777969525925</x:v>
      </x:c>
      <x:c r="Z17" s="4" t="str">
        <x:f>IF(ABS(Y17/D17)&lt;=0.1,"IN BAND","REVIEW")</x:f>
        <x:v>IN BAND</x:v>
      </x:c>
      <x:c r="AA17" s="5" t="inlineStr">
        <x:is>
          <x:t xml:space="preserve">Soul scaling must remain bounded outside this base row</x:t>
        </x:is>
      </x:c>
    </x:row>
    <x:row r="18">
      <x:c r="A18" t="inlineStr">
        <x:is>
          <x:t xml:space="preserve">Frost Lord</x:t>
        </x:is>
      </x:c>
      <x:c r="B18" t="inlineStr">
        <x:is>
          <x:t xml:space="preserve">Imperial Heir</x:t>
        </x:is>
      </x:c>
      <x:c r="C18" t="inlineStr">
        <x:is>
          <x:t xml:space="preserve">Standard</x:t>
        </x:is>
      </x:c>
      <x:c r="D18">
        <x:v>100</x:v>
      </x:c>
      <x:c r="E18" s="3">
        <x:v>2.1</x:v>
      </x:c>
      <x:c r="F18" s="3">
        <x:v>1</x:v>
      </x:c>
      <x:c r="G18" s="3">
        <x:v>0.8</x:v>
      </x:c>
      <x:c r="H18" s="4" t="n">
        <x:f>E18*F18</x:f>
        <x:v>2.1</x:v>
      </x:c>
      <x:c r="I18" s="4" t="n">
        <x:f>E18*G18</x:f>
        <x:v>1.6800000000000002</x:v>
      </x:c>
      <x:c r="J18">
        <x:v>29</x:v>
      </x:c>
      <x:c r="K18" s="3">
        <x:v>1.4</x:v>
      </x:c>
      <x:c r="L18" s="3">
        <x:v>1.4</x:v>
      </x:c>
      <x:c r="M18" s="3">
        <x:v>1.9</x:v>
      </x:c>
      <x:c r="N18" s="3">
        <x:v>1.9</x:v>
      </x:c>
      <x:c r="O18" s="3">
        <x:v>1.4</x:v>
      </x:c>
      <x:c r="P18" s="3">
        <x:v>1.8</x:v>
      </x:c>
      <x:c r="Q18" s="3">
        <x:v>1.3</x:v>
      </x:c>
      <x:c r="R18" s="3">
        <x:v>1.3</x:v>
      </x:c>
      <x:c r="S18" s="3">
        <x:v>1</x:v>
      </x:c>
      <x:c r="T18" s="3">
        <x:v>1</x:v>
      </x:c>
      <x:c r="U18" s="3">
        <x:v>1</x:v>
      </x:c>
      <x:c r="V18" s="3">
        <x:v>1</x:v>
      </x:c>
      <x:c r="W18" s="4" t="n">
        <x:f>100*SQRT((((POWER(H18/$H$3,0.5)*POWER(2*L18/(L18+$M$3),0.85))+(POWER(H18/$H$3,0.5)*POWER(2*O18/(O18+$P$3),0.85)))/2)*(POWER(N18/$N$3,0.2)*POWER(Q18/$Q$3,0.1)*POWER(R18/$R$3,0.1)*POWER(S18/$S$3,0.1))/(((POWER($H$3/H18,0.5)*POWER(2*$L$3/($L$3+M18),0.85)*U18)+(POWER($H$3/H18,0.5)*POWER(2*$O$3/($O$3+P18),0.85)*U18))/2))</x:f>
        <x:v>112.1763864545305</x:v>
      </x:c>
      <x:c r="X18" s="4" t="n">
        <x:f>100*SQRT((((POWER(I18/$I$3,0.5)*POWER(2*L18/(L18+$M$3),0.85))+(POWER(I18/$I$3,0.5)*POWER(2*O18/(O18+$P$3),0.85)))/2)*(POWER(N18/$N$3,0.2)*POWER(Q18/$Q$3,0.1)*POWER(R18/$R$3,0.1)*POWER(S18/$S$3,0.1))/(((POWER($I$3/I18,0.5)*POWER(2*$L$3/($L$3+M18),0.85)*V18)+(POWER($I$3/I18,0.5)*POWER(2*$O$3/($O$3+P18),0.85)*V18))/2))</x:f>
        <x:v>100.33361023304674</x:v>
      </x:c>
      <x:c r="Y18" s="4" t="n">
        <x:f>X18-D18</x:f>
        <x:v>0.3336102330467412</x:v>
      </x:c>
      <x:c r="Z18" s="4" t="str">
        <x:f>IF(ABS(Y18/D18)&lt;=0.1,"IN BAND","REVIEW")</x:f>
        <x:v>IN BAND</x:v>
      </x:c>
      <x:c r="AA18" s="5" t="inlineStr">
        <x:is>
          <x:t xml:space="preserve">Standard Frost forms excluded from base row</x:t>
        </x:is>
      </x:c>
    </x:row>
    <x:row r="19">
      <x:c r="A19" t="inlineStr">
        <x:is>
          <x:t xml:space="preserve">Frost Lord</x:t>
        </x:is>
      </x:c>
      <x:c r="B19" t="inlineStr">
        <x:is>
          <x:t xml:space="preserve">Cooler</x:t>
        </x:is>
      </x:c>
      <x:c r="C19" t="inlineStr">
        <x:is>
          <x:t xml:space="preserve">Exceptional</x:t>
        </x:is>
      </x:c>
      <x:c r="D19">
        <x:v>125</x:v>
      </x:c>
      <x:c r="E19" s="3">
        <x:v>2.1</x:v>
      </x:c>
      <x:c r="F19" s="3">
        <x:v>1</x:v>
      </x:c>
      <x:c r="G19" s="3">
        <x:v>0.76</x:v>
      </x:c>
      <x:c r="H19" s="4" t="n">
        <x:f>E19*F19</x:f>
        <x:v>2.1</x:v>
      </x:c>
      <x:c r="I19" s="4" t="n">
        <x:f>E19*G19</x:f>
        <x:v>1.596</x:v>
      </x:c>
      <x:c r="J19">
        <x:v>29</x:v>
      </x:c>
      <x:c r="K19" s="3">
        <x:v>1.4</x:v>
      </x:c>
      <x:c r="L19" s="3">
        <x:v>1.4</x:v>
      </x:c>
      <x:c r="M19" s="3">
        <x:v>1.9</x:v>
      </x:c>
      <x:c r="N19" s="3">
        <x:v>1.9</x:v>
      </x:c>
      <x:c r="O19" s="3">
        <x:v>1.4</x:v>
      </x:c>
      <x:c r="P19" s="3">
        <x:v>1.8</x:v>
      </x:c>
      <x:c r="Q19" s="3">
        <x:v>1.3</x:v>
      </x:c>
      <x:c r="R19" s="3">
        <x:v>1.3</x:v>
      </x:c>
      <x:c r="S19" s="3">
        <x:v>1</x:v>
      </x:c>
      <x:c r="T19" s="3">
        <x:v>1</x:v>
      </x:c>
      <x:c r="U19" s="3">
        <x:v>1</x:v>
      </x:c>
      <x:c r="V19" s="3">
        <x:v>0.89</x:v>
      </x:c>
      <x:c r="W19" s="4" t="n">
        <x:f>100*SQRT((((POWER(H19/$H$3,0.5)*POWER(2*L19/(L19+$M$3),0.85))+(POWER(H19/$H$3,0.5)*POWER(2*O19/(O19+$P$3),0.85)))/2)*(POWER(N19/$N$3,0.2)*POWER(Q19/$Q$3,0.1)*POWER(R19/$R$3,0.1)*POWER(S19/$S$3,0.1))/(((POWER($H$3/H19,0.5)*POWER(2*$L$3/($L$3+M19),0.85)*U19)+(POWER($H$3/H19,0.5)*POWER(2*$O$3/($O$3+P19),0.85)*U19))/2))</x:f>
        <x:v>112.1763864545305</x:v>
      </x:c>
      <x:c r="X19" s="4" t="n">
        <x:f>100*SQRT((((POWER(I19/$I$3,0.5)*POWER(2*L19/(L19+$M$3),0.85))+(POWER(I19/$I$3,0.5)*POWER(2*O19/(O19+$P$3),0.85)))/2)*(POWER(N19/$N$3,0.2)*POWER(Q19/$Q$3,0.1)*POWER(R19/$R$3,0.1)*POWER(S19/$S$3,0.1))/(((POWER($I$3/I19,0.5)*POWER(2*$L$3/($L$3+M19),0.85)*V19)+(POWER($I$3/I19,0.5)*POWER(2*$O$3/($O$3+P19),0.85)*V19))/2))</x:f>
        <x:v>103.66048554949123</x:v>
      </x:c>
      <x:c r="Y19" s="4" t="n">
        <x:f>X19-D19</x:f>
        <x:v>-21.339514450508773</x:v>
      </x:c>
      <x:c r="Z19" s="4" t="str">
        <x:f>IF(ABS(Y19/D19)&lt;=0.1,"IN BAND","REVIEW")</x:f>
        <x:v>REVIEW</x:v>
      </x:c>
      <x:c r="AA19" s="5" t="inlineStr">
        <x:is>
          <x:t xml:space="preserve">Creation diagnostic; fifth-form sustainable target is authoritative</x:t>
        </x:is>
      </x:c>
    </x:row>
    <x:row r="20">
      <x:c r="A20" t="inlineStr">
        <x:is>
          <x:t xml:space="preserve">Kai</x:t>
        </x:is>
      </x:c>
      <x:c r="B20" t="inlineStr">
        <x:is>
          <x:t xml:space="preserve">Guardian</x:t>
        </x:is>
      </x:c>
      <x:c r="C20" t="inlineStr">
        <x:is>
          <x:t xml:space="preserve">Standard</x:t>
        </x:is>
      </x:c>
      <x:c r="D20">
        <x:v>100</x:v>
      </x:c>
      <x:c r="E20" s="3">
        <x:v>1.8</x:v>
      </x:c>
      <x:c r="F20" s="3">
        <x:v>1</x:v>
      </x:c>
      <x:c r="G20" s="3">
        <x:v>1</x:v>
      </x:c>
      <x:c r="H20" s="4" t="n">
        <x:f>E20*F20</x:f>
        <x:v>1.8</x:v>
      </x:c>
      <x:c r="I20" s="4" t="n">
        <x:f>E20*G20</x:f>
        <x:v>1.8</x:v>
      </x:c>
      <x:c r="J20">
        <x:v>42</x:v>
      </x:c>
      <x:c r="K20" s="3">
        <x:v>1.9</x:v>
      </x:c>
      <x:c r="L20" s="3">
        <x:v>1.6</x:v>
      </x:c>
      <x:c r="M20" s="3">
        <x:v>1.5</x:v>
      </x:c>
      <x:c r="N20" s="3">
        <x:v>2</x:v>
      </x:c>
      <x:c r="O20" s="3">
        <x:v>1.5</x:v>
      </x:c>
      <x:c r="P20" s="3">
        <x:v>1.5</x:v>
      </x:c>
      <x:c r="Q20" s="3">
        <x:v>1.5</x:v>
      </x:c>
      <x:c r="R20" s="3">
        <x:v>1.5</x:v>
      </x:c>
      <x:c r="S20" s="3">
        <x:v>1</x:v>
      </x:c>
      <x:c r="T20" s="3">
        <x:v>2</x:v>
      </x:c>
      <x:c r="U20" s="3">
        <x:v>1</x:v>
      </x:c>
      <x:c r="V20" s="3">
        <x:v>1</x:v>
      </x:c>
      <x:c r="W20" s="4" t="n">
        <x:f>100*SQRT((((POWER(H20/$H$3,0.5)*POWER(2*L20/(L20+$M$3),0.85))+(POWER(H20/$H$3,0.5)*POWER(2*O20/(O20+$P$3),0.85)))/2)*(POWER(N20/$N$3,0.2)*POWER(Q20/$Q$3,0.1)*POWER(R20/$R$3,0.1)*POWER(S20/$S$3,0.1))/(((POWER($H$3/H20,0.5)*POWER(2*$L$3/($L$3+M20),0.85)*U20)+(POWER($H$3/H20,0.5)*POWER(2*$O$3/($O$3+P20),0.85)*U20))/2))</x:f>
        <x:v>104.07490934269357</x:v>
      </x:c>
      <x:c r="X20" s="4" t="n">
        <x:f>100*SQRT((((POWER(I20/$I$3,0.5)*POWER(2*L20/(L20+$M$3),0.85))+(POWER(I20/$I$3,0.5)*POWER(2*O20/(O20+$P$3),0.85)))/2)*(POWER(N20/$N$3,0.2)*POWER(Q20/$Q$3,0.1)*POWER(R20/$R$3,0.1)*POWER(S20/$S$3,0.1))/(((POWER($I$3/I20,0.5)*POWER(2*$L$3/($L$3+M20),0.85)*V20)+(POWER($I$3/I20,0.5)*POWER(2*$O$3/($O$3+P20),0.85)*V20))/2))</x:f>
        <x:v>104.07490934269357</x:v>
      </x:c>
      <x:c r="Y20" s="4" t="n">
        <x:f>X20-D20</x:f>
        <x:v>4.074909342693573</x:v>
      </x:c>
      <x:c r="Z20" s="4" t="str">
        <x:f>IF(ABS(Y20/D20)&lt;=0.1,"IN BAND","REVIEW")</x:f>
        <x:v>IN BAND</x:v>
      </x:c>
      <x:c r="AA20" s="5" t="inlineStr">
        <x:is>
          <x:t xml:space="preserve">Recovery and support utility</x:t>
        </x:is>
      </x:c>
    </x:row>
    <x:row r="21">
      <x:c r="A21" t="inlineStr">
        <x:is>
          <x:t xml:space="preserve">Makyo</x:t>
        </x:is>
      </x:c>
      <x:c r="B21" t="inlineStr">
        <x:is>
          <x:t xml:space="preserve">Starborn</x:t>
        </x:is>
      </x:c>
      <x:c r="C21" t="inlineStr">
        <x:is>
          <x:t xml:space="preserve">Standard</x:t>
        </x:is>
      </x:c>
      <x:c r="D21">
        <x:v>100</x:v>
      </x:c>
      <x:c r="E21" s="3">
        <x:v>1.85</x:v>
      </x:c>
      <x:c r="F21" s="3">
        <x:v>1</x:v>
      </x:c>
      <x:c r="G21" s="3">
        <x:v>0.77</x:v>
      </x:c>
      <x:c r="H21" s="4" t="n">
        <x:f>E21*F21</x:f>
        <x:v>1.85</x:v>
      </x:c>
      <x:c r="I21" s="4" t="n">
        <x:f>E21*G21</x:f>
        <x:v>1.4245</x:v>
      </x:c>
      <x:c r="J21">
        <x:v>48</x:v>
      </x:c>
      <x:c r="K21" s="3">
        <x:v>1.7</x:v>
      </x:c>
      <x:c r="L21" s="3">
        <x:v>1.7</x:v>
      </x:c>
      <x:c r="M21" s="3">
        <x:v>2</x:v>
      </x:c>
      <x:c r="N21" s="3">
        <x:v>2</x:v>
      </x:c>
      <x:c r="O21" s="3">
        <x:v>1.7</x:v>
      </x:c>
      <x:c r="P21" s="3">
        <x:v>1.7</x:v>
      </x:c>
      <x:c r="Q21" s="3">
        <x:v>1.7</x:v>
      </x:c>
      <x:c r="R21" s="3">
        <x:v>1.7</x:v>
      </x:c>
      <x:c r="S21" s="3">
        <x:v>1</x:v>
      </x:c>
      <x:c r="T21" s="3">
        <x:v>1</x:v>
      </x:c>
      <x:c r="U21" s="3">
        <x:v>1</x:v>
      </x:c>
      <x:c r="V21" s="3">
        <x:v>1</x:v>
      </x:c>
      <x:c r="W21" s="4" t="n">
        <x:f>100*SQRT((((POWER(H21/$H$3,0.5)*POWER(2*L21/(L21+$M$3),0.85))+(POWER(H21/$H$3,0.5)*POWER(2*O21/(O21+$P$3),0.85)))/2)*(POWER(N21/$N$3,0.2)*POWER(Q21/$Q$3,0.1)*POWER(R21/$R$3,0.1)*POWER(S21/$S$3,0.1))/(((POWER($H$3/H21,0.5)*POWER(2*$L$3/($L$3+M21),0.85)*U21)+(POWER($H$3/H21,0.5)*POWER(2*$O$3/($O$3+P21),0.85)*U21))/2))</x:f>
        <x:v>113.70748479711786</x:v>
      </x:c>
      <x:c r="X21" s="4" t="n">
        <x:f>100*SQRT((((POWER(I21/$I$3,0.5)*POWER(2*L21/(L21+$M$3),0.85))+(POWER(I21/$I$3,0.5)*POWER(2*O21/(O21+$P$3),0.85)))/2)*(POWER(N21/$N$3,0.2)*POWER(Q21/$Q$3,0.1)*POWER(R21/$R$3,0.1)*POWER(S21/$S$3,0.1))/(((POWER($I$3/I21,0.5)*POWER(2*$L$3/($L$3+M21),0.85)*V21)+(POWER($I$3/I21,0.5)*POWER(2*$O$3/($O$3+P21),0.85)*V21))/2))</x:f>
        <x:v>99.77791296746403</x:v>
      </x:c>
      <x:c r="Y21" s="4" t="n">
        <x:f>X21-D21</x:f>
        <x:v>-0.22208703253596696</x:v>
      </x:c>
      <x:c r="Z21" s="4" t="str">
        <x:f>IF(ABS(Y21/D21)&lt;=0.1,"IN BAND","REVIEW")</x:f>
        <x:v>IN BAND</x:v>
      </x:c>
      <x:c r="AA21" s="5" t="inlineStr">
        <x:is>
          <x:t xml:space="preserve">Makyo Star recovery excluded from direct power index</x:t>
        </x:is>
      </x:c>
    </x:row>
    <x:row r="22">
      <x:c r="A22" t="inlineStr">
        <x:is>
          <x:t xml:space="preserve">Majin</x:t>
        </x:is>
      </x:c>
      <x:c r="B22" t="inlineStr">
        <x:is>
          <x:t xml:space="preserve">Primal Fragment</x:t>
        </x:is>
      </x:c>
      <x:c r="C22" t="inlineStr">
        <x:is>
          <x:t xml:space="preserve">Exceptional</x:t>
        </x:is>
      </x:c>
      <x:c r="D22">
        <x:v>125</x:v>
      </x:c>
      <x:c r="E22" s="3">
        <x:v>2.55</x:v>
      </x:c>
      <x:c r="F22" s="3">
        <x:v>1</x:v>
      </x:c>
      <x:c r="G22" s="3">
        <x:v>1.13</x:v>
      </x:c>
      <x:c r="H22" s="4" t="n">
        <x:f>E22*F22</x:f>
        <x:v>2.55</x:v>
      </x:c>
      <x:c r="I22" s="4" t="n">
        <x:f>E22*G22</x:f>
        <x:v>2.8814999999999995</x:v>
      </x:c>
      <x:c r="J22">
        <x:v>34</x:v>
      </x:c>
      <x:c r="K22" s="3">
        <x:v>1.5</x:v>
      </x:c>
      <x:c r="L22" s="3">
        <x:v>1.5</x:v>
      </x:c>
      <x:c r="M22" s="3">
        <x:v>1.078</x:v>
      </x:c>
      <x:c r="N22" s="3">
        <x:v>1.4</x:v>
      </x:c>
      <x:c r="O22" s="3">
        <x:v>1.4</x:v>
      </x:c>
      <x:c r="P22" s="3">
        <x:v>1.078</x:v>
      </x:c>
      <x:c r="Q22" s="3">
        <x:v>1.4</x:v>
      </x:c>
      <x:c r="R22" s="3">
        <x:v>1.4</x:v>
      </x:c>
      <x:c r="S22" s="3">
        <x:v>5</x:v>
      </x:c>
      <x:c r="T22" s="3">
        <x:v>2</x:v>
      </x:c>
      <x:c r="U22" s="3">
        <x:v>1</x:v>
      </x:c>
      <x:c r="V22" s="3">
        <x:v>0.96</x:v>
      </x:c>
      <x:c r="W22" s="4" t="n">
        <x:f>100*SQRT((((POWER(H22/$H$3,0.5)*POWER(2*L22/(L22+$M$3),0.85))+(POWER(H22/$H$3,0.5)*POWER(2*O22/(O22+$P$3),0.85)))/2)*(POWER(N22/$N$3,0.2)*POWER(Q22/$Q$3,0.1)*POWER(R22/$R$3,0.1)*POWER(S22/$S$3,0.1))/(((POWER($H$3/H22,0.5)*POWER(2*$L$3/($L$3+M22),0.85)*U22)+(POWER($H$3/H22,0.5)*POWER(2*$O$3/($O$3+P22),0.85)*U22))/2))</x:f>
        <x:v>119.69982920742383</x:v>
      </x:c>
      <x:c r="X22" s="4" t="n">
        <x:f>100*SQRT((((POWER(I22/$I$3,0.5)*POWER(2*L22/(L22+$M$3),0.85))+(POWER(I22/$I$3,0.5)*POWER(2*O22/(O22+$P$3),0.85)))/2)*(POWER(N22/$N$3,0.2)*POWER(Q22/$Q$3,0.1)*POWER(R22/$R$3,0.1)*POWER(S22/$S$3,0.1))/(((POWER($I$3/I22,0.5)*POWER(2*$L$3/($L$3+M22),0.85)*V22)+(POWER($I$3/I22,0.5)*POWER(2*$O$3/($O$3+P22),0.85)*V22))/2))</x:f>
        <x:v>129.8664999499633</x:v>
      </x:c>
      <x:c r="Y22" s="4" t="n">
        <x:f>X22-D22</x:f>
        <x:v>4.866499949963298</x:v>
      </x:c>
      <x:c r="Z22" s="4" t="str">
        <x:f>IF(ABS(Y22/D22)&lt;=0.1,"IN BAND","REVIEW")</x:f>
        <x:v>IN BAND</x:v>
      </x:c>
      <x:c r="AA22" s="5" t="inlineStr">
        <x:is>
          <x:t xml:space="preserve">Creation diagnostic; sustainable row includes Majin buff</x:t>
        </x:is>
      </x:c>
    </x:row>
    <x:row r="23">
      <x:c r="A23" t="inlineStr">
        <x:is>
          <x:t xml:space="preserve">Namekian</x:t>
        </x:is>
      </x:c>
      <x:c r="B23" t="inlineStr">
        <x:is>
          <x:t xml:space="preserve">Dragon Clan</x:t>
        </x:is>
      </x:c>
      <x:c r="C23" t="inlineStr">
        <x:is>
          <x:t xml:space="preserve">Standard</x:t>
        </x:is>
      </x:c>
      <x:c r="D23">
        <x:v>100</x:v>
      </x:c>
      <x:c r="E23" s="3">
        <x:v>1.65</x:v>
      </x:c>
      <x:c r="F23" s="3">
        <x:v>1</x:v>
      </x:c>
      <x:c r="G23" s="3">
        <x:v>1</x:v>
      </x:c>
      <x:c r="H23" s="4" t="n">
        <x:f>E23*F23</x:f>
        <x:v>1.65</x:v>
      </x:c>
      <x:c r="I23" s="4" t="n">
        <x:f>E23*G23</x:f>
        <x:v>1.65</x:v>
      </x:c>
      <x:c r="J23">
        <x:v>45</x:v>
      </x:c>
      <x:c r="K23" s="3">
        <x:v>1.6</x:v>
      </x:c>
      <x:c r="L23" s="3">
        <x:v>1.6</x:v>
      </x:c>
      <x:c r="M23" s="3">
        <x:v>1.6</x:v>
      </x:c>
      <x:c r="N23" s="3">
        <x:v>1.6</x:v>
      </x:c>
      <x:c r="O23" s="3">
        <x:v>1.6</x:v>
      </x:c>
      <x:c r="P23" s="3">
        <x:v>1.5</x:v>
      </x:c>
      <x:c r="Q23" s="3">
        <x:v>1.5</x:v>
      </x:c>
      <x:c r="R23" s="3">
        <x:v>2</x:v>
      </x:c>
      <x:c r="S23" s="3">
        <x:v>3</x:v>
      </x:c>
      <x:c r="T23" s="3">
        <x:v>1</x:v>
      </x:c>
      <x:c r="U23" s="3">
        <x:v>1</x:v>
      </x:c>
      <x:c r="V23" s="3">
        <x:v>1</x:v>
      </x:c>
      <x:c r="W23" s="4" t="n">
        <x:f>100*SQRT((((POWER(H23/$H$3,0.5)*POWER(2*L23/(L23+$M$3),0.85))+(POWER(H23/$H$3,0.5)*POWER(2*O23/(O23+$P$3),0.85)))/2)*(POWER(N23/$N$3,0.2)*POWER(Q23/$Q$3,0.1)*POWER(R23/$R$3,0.1)*POWER(S23/$S$3,0.1))/(((POWER($H$3/H23,0.5)*POWER(2*$L$3/($L$3+M23),0.85)*U23)+(POWER($H$3/H23,0.5)*POWER(2*$O$3/($O$3+P23),0.85)*U23))/2))</x:f>
        <x:v>105.87138621135092</x:v>
      </x:c>
      <x:c r="X23" s="4" t="n">
        <x:f>100*SQRT((((POWER(I23/$I$3,0.5)*POWER(2*L23/(L23+$M$3),0.85))+(POWER(I23/$I$3,0.5)*POWER(2*O23/(O23+$P$3),0.85)))/2)*(POWER(N23/$N$3,0.2)*POWER(Q23/$Q$3,0.1)*POWER(R23/$R$3,0.1)*POWER(S23/$S$3,0.1))/(((POWER($I$3/I23,0.5)*POWER(2*$L$3/($L$3+M23),0.85)*V23)+(POWER($I$3/I23,0.5)*POWER(2*$O$3/($O$3+P23),0.85)*V23))/2))</x:f>
        <x:v>105.87138621135092</x:v>
      </x:c>
      <x:c r="Y23" s="4" t="n">
        <x:f>X23-D23</x:f>
        <x:v>5.871386211350924</x:v>
      </x:c>
      <x:c r="Z23" s="4" t="str">
        <x:f>IF(ABS(Y23/D23)&lt;=0.1,"IN BAND","REVIEW")</x:f>
        <x:v>IN BAND</x:v>
      </x:c>
      <x:c r="AA23" s="5" t="inlineStr">
        <x:is>
          <x:t xml:space="preserve">Fusion excluded from base row</x:t>
        </x:is>
      </x:c>
    </x:row>
    <x:row r="24">
      <x:c r="A24" t="inlineStr">
        <x:is>
          <x:t xml:space="preserve">Tsujin</x:t>
        </x:is>
      </x:c>
      <x:c r="B24" t="inlineStr">
        <x:is>
          <x:t xml:space="preserve">Engineer</x:t>
        </x:is>
      </x:c>
      <x:c r="C24" t="inlineStr">
        <x:is>
          <x:t xml:space="preserve">Standard</x:t>
        </x:is>
      </x:c>
      <x:c r="D24">
        <x:v>100</x:v>
      </x:c>
      <x:c r="E24" s="3">
        <x:v>1.28</x:v>
      </x:c>
      <x:c r="F24" s="3">
        <x:v>1</x:v>
      </x:c>
      <x:c r="G24" s="3">
        <x:v>1</x:v>
      </x:c>
      <x:c r="H24" s="4" t="n">
        <x:f>E24*F24</x:f>
        <x:v>1.28</x:v>
      </x:c>
      <x:c r="I24" s="4" t="n">
        <x:f>E24*G24</x:f>
        <x:v>1.28</x:v>
      </x:c>
      <x:c r="J24">
        <x:v>55</x:v>
      </x:c>
      <x:c r="K24" s="3">
        <x:v>1.7</x:v>
      </x:c>
      <x:c r="L24" s="3">
        <x:v>1.7</x:v>
      </x:c>
      <x:c r="M24" s="3">
        <x:v>1.7</x:v>
      </x:c>
      <x:c r="N24" s="3">
        <x:v>1.7</x:v>
      </x:c>
      <x:c r="O24" s="3">
        <x:v>1.7</x:v>
      </x:c>
      <x:c r="P24" s="3">
        <x:v>1.7</x:v>
      </x:c>
      <x:c r="Q24" s="3">
        <x:v>1.7</x:v>
      </x:c>
      <x:c r="R24" s="3">
        <x:v>1.6</x:v>
      </x:c>
      <x:c r="S24" s="3">
        <x:v>1</x:v>
      </x:c>
      <x:c r="T24" s="3">
        <x:v>1</x:v>
      </x:c>
      <x:c r="U24" s="3">
        <x:v>1</x:v>
      </x:c>
      <x:c r="V24" s="3">
        <x:v>1</x:v>
      </x:c>
      <x:c r="W24" s="4" t="n">
        <x:f>100*SQRT((((POWER(H24/$H$3,0.5)*POWER(2*L24/(L24+$M$3),0.85))+(POWER(H24/$H$3,0.5)*POWER(2*O24/(O24+$P$3),0.85)))/2)*(POWER(N24/$N$3,0.2)*POWER(Q24/$Q$3,0.1)*POWER(R24/$R$3,0.1)*POWER(S24/$S$3,0.1))/(((POWER($H$3/H24,0.5)*POWER(2*$L$3/($L$3+M24),0.85)*U24)+(POWER($H$3/H24,0.5)*POWER(2*$O$3/($O$3+P24),0.85)*U24))/2))</x:f>
        <x:v>91.23727227372504</x:v>
      </x:c>
      <x:c r="X24" s="4" t="n">
        <x:f>100*SQRT((((POWER(I24/$I$3,0.5)*POWER(2*L24/(L24+$M$3),0.85))+(POWER(I24/$I$3,0.5)*POWER(2*O24/(O24+$P$3),0.85)))/2)*(POWER(N24/$N$3,0.2)*POWER(Q24/$Q$3,0.1)*POWER(R24/$R$3,0.1)*POWER(S24/$S$3,0.1))/(((POWER($I$3/I24,0.5)*POWER(2*$L$3/($L$3+M24),0.85)*V24)+(POWER($I$3/I24,0.5)*POWER(2*$O$3/($O$3+P24),0.85)*V24))/2))</x:f>
        <x:v>91.23727227372504</x:v>
      </x:c>
      <x:c r="Y24" s="4" t="n">
        <x:f>X24-D24</x:f>
        <x:v>-8.76272772627496</x:v>
      </x:c>
      <x:c r="Z24" s="4" t="str">
        <x:f>IF(ABS(Y24/D24)&lt;=0.1,"IN BAND","REVIEW")</x:f>
        <x:v>IN BAND</x:v>
      </x:c>
      <x:c r="AA24" s="5" t="inlineStr">
        <x:is>
          <x:t xml:space="preserve">Technology utility excluded from base row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customWidth="1"/>
    <x:col min="2" max="2" width="24" customWidth="1"/>
    <x:col min="3" max="3" width="13" customWidth="1"/>
    <x:col min="4" max="4" width="13" customWidth="1"/>
    <x:col min="5" max="5" width="16" customWidth="1"/>
    <x:col min="6" max="6" width="14" customWidth="1"/>
    <x:col min="7" max="7" width="15" customWidth="1"/>
    <x:col min="8" max="8" width="34" customWidth="1"/>
    <x:col min="9" max="9" width="15" customWidth="1"/>
    <x:col min="10" max="10" width="34" customWidth="1"/>
    <x:col min="11" max="11" width="18" customWidth="1"/>
    <x:col min="12" max="12" width="34" customWidth="1"/>
    <x:col min="13" max="13" width="15" customWidth="1"/>
    <x:col min="14" max="14" width="24" customWidth="1"/>
    <x:col min="15" max="15" width="30" customWidth="1"/>
    <x:col min="16" max="16" width="58" customWidth="1"/>
    <x:col min="17" max="17" width="58" customWidth="1"/>
    <x:col min="18" max="18" width="18" customWidth="1"/>
  </x:cols>
  <x:sheetData>
    <x:row r="1">
      <x:c r="A1" s="2" t="inlineStr">
        <x:is>
          <x:t xml:space="preserve">Race Progression Balance</x:t>
        </x:is>
      </x:c>
      <x:c r="B1" s="2" t="inlineStr">
        <x:is>
          <x:t xml:space="preserve">R is equal relative natural progression: natural BP divided by the mature growth modifier. S2 is the best sustainable racial package; S3 separates God/endgame; S4 is a 180-second burst; S5 documents cyber, absorption and fusion.</x:t>
        </x:is>
      </x:c>
    </x:row>
    <x:row r="2">
      <x:c r="A2" s="1" t="inlineStr">
        <x:is>
          <x:t xml:space="preserve">Race</x:t>
        </x:is>
      </x:c>
      <x:c r="B2" s="1" t="inlineStr">
        <x:is>
          <x:t xml:space="preserve">Variant</x:t>
        </x:is>
      </x:c>
      <x:c r="C2" s="1" t="inlineStr">
        <x:is>
          <x:t xml:space="preserve">Tier</x:t>
        </x:is>
      </x:c>
      <x:c r="D2" s="1" t="inlineStr">
        <x:is>
          <x:t xml:space="preserve">S0 creation BP/R</x:t>
        </x:is>
      </x:c>
      <x:c r="E2" s="1" t="inlineStr">
        <x:is>
          <x:t xml:space="preserve">Mature growth mod</x:t>
        </x:is>
      </x:c>
      <x:c r="F2" s="1" t="inlineStr">
        <x:is>
          <x:t xml:space="preserve">Racial combat mult</x:t>
        </x:is>
      </x:c>
      <x:c r="G2" s="1" t="inlineStr">
        <x:is>
          <x:t xml:space="preserve">S1 mature BP/R</x:t>
        </x:is>
      </x:c>
      <x:c r="H2" s="1" t="inlineStr">
        <x:is>
          <x:t xml:space="preserve">S2 sustainable package</x:t>
        </x:is>
      </x:c>
      <x:c r="I2" s="1" t="inlineStr">
        <x:is>
          <x:t xml:space="preserve">S2 BP/R</x:t>
        </x:is>
      </x:c>
      <x:c r="J2" s="1" t="inlineStr">
        <x:is>
          <x:t xml:space="preserve">S3 common endgame</x:t>
        </x:is>
      </x:c>
      <x:c r="K2" s="1" t="inlineStr">
        <x:is>
          <x:t xml:space="preserve">S3 BP/R</x:t>
        </x:is>
      </x:c>
      <x:c r="L2" s="1" t="inlineStr">
        <x:is>
          <x:t xml:space="preserve">S4 burst package</x:t>
        </x:is>
      </x:c>
      <x:c r="M2" s="1" t="inlineStr">
        <x:is>
          <x:t xml:space="preserve">S4 BP/R</x:t>
        </x:is>
      </x:c>
      <x:c r="N2" s="1" t="inlineStr">
        <x:is>
          <x:t xml:space="preserve">Powerup soft-cap modifier</x:t>
        </x:is>
      </x:c>
      <x:c r="O2" s="1" t="inlineStr">
        <x:is>
          <x:t xml:space="preserve">Stat limits</x:t>
        </x:is>
      </x:c>
      <x:c r="P2" s="1" t="inlineStr">
        <x:is>
          <x:t xml:space="preserve">Racial abilities included</x:t>
        </x:is>
      </x:c>
      <x:c r="Q2" s="1" t="inlineStr">
        <x:is>
          <x:t xml:space="preserve">S5 external progression</x:t>
        </x:is>
      </x:c>
      <x:c r="R2" s="1" t="inlineStr">
        <x:is>
          <x:t xml:space="preserve">Screening status</x:t>
        </x:is>
      </x:c>
    </x:row>
    <x:row r="3">
      <x:c r="A3" t="inlineStr">
        <x:is>
          <x:t xml:space="preserve">Human</x:t>
        </x:is>
      </x:c>
      <x:c r="B3" t="inlineStr">
        <x:is>
          <x:t xml:space="preserve">Adaptability</x:t>
        </x:is>
      </x:c>
      <x:c r="C3" t="inlineStr">
        <x:is>
          <x:t xml:space="preserve">Standard</x:t>
        </x:is>
      </x:c>
      <x:c r="D3" s="3">
        <x:v>1.33</x:v>
      </x:c>
      <x:c r="E3" s="3">
        <x:v>21.603</x:v>
      </x:c>
      <x:c r="F3" s="3">
        <x:v>1</x:v>
      </x:c>
      <x:c r="G3" s="3">
        <x:v>21.603</x:v>
      </x:c>
      <x:c r="H3" s="5" t="inlineStr">
        <x:is>
          <x:t xml:space="preserve">Ascension + Third Eye (available early)</x:t>
        </x:is>
      </x:c>
      <x:c r="I3" s="3">
        <x:v>25.923</x:v>
      </x:c>
      <x:c r="J3" s="5" t="inlineStr">
        <x:is>
          <x:t xml:space="preserve">Same; Human has no stronger native primary</x:t>
        </x:is>
      </x:c>
      <x:c r="K3" s="3">
        <x:v>25.923</x:v>
      </x:c>
      <x:c r="L3" s="5" t="inlineStr">
        <x:is>
          <x:t xml:space="preserve">Third Eye + Limit Breaker</x:t>
        </x:is>
      </x:c>
      <x:c r="M3" s="3">
        <x:v>36.725</x:v>
      </x:c>
      <x:c r="N3" s="5" t="inlineStr">
        <x:is>
          <x:t xml:space="preserve">1.0 x 27*KiMod^0.9</x:t>
        </x:is>
      </x:c>
      <x:c r="O3" s="5" t="inlineStr">
        <x:is>
          <x:t xml:space="preserve">Primary caps 2.5; large 72-point budget</x:t>
        </x:is>
      </x:c>
      <x:c r="P3" s="5" t="inlineStr">
        <x:is>
          <x:t xml:space="preserve">Third Eye, early mastery/meditation utility, broad learnability</x:t>
        </x:is>
      </x:c>
      <x:c r="Q3" s="5" t="inlineStr">
        <x:is>
          <x:t xml:space="preserve">Mystic/Fire Fist are shared learned buffs and reported separately</x:t>
        </x:is>
      </x:c>
      <x:c r="R3" t="inlineStr">
        <x:is>
          <x:t xml:space="preserve">IN BAND</x:t>
        </x:is>
      </x:c>
    </x:row>
    <x:row r="4">
      <x:c r="A4" t="inlineStr">
        <x:is>
          <x:t xml:space="preserve">Spirit Doll</x:t>
        </x:is>
      </x:c>
      <x:c r="B4" t="inlineStr">
        <x:is>
          <x:t xml:space="preserve">Awakened Soul</x:t>
        </x:is>
      </x:c>
      <x:c r="C4" t="inlineStr">
        <x:is>
          <x:t xml:space="preserve">Standard</x:t>
        </x:is>
      </x:c>
      <x:c r="D4" s="3">
        <x:v>1.197</x:v>
      </x:c>
      <x:c r="E4" s="3">
        <x:v>16.907</x:v>
      </x:c>
      <x:c r="F4" s="3">
        <x:v>1</x:v>
      </x:c>
      <x:c r="G4" s="3">
        <x:v>16.907</x:v>
      </x:c>
      <x:c r="H4" s="5" t="inlineStr">
        <x:is>
          <x:t xml:space="preserve">Mature untransformed</x:t>
        </x:is>
      </x:c>
      <x:c r="I4" s="3">
        <x:v>16.907</x:v>
      </x:c>
      <x:c r="J4" s="5" t="inlineStr">
        <x:is>
          <x:t xml:space="preserve">Shared learned buffs</x:t>
        </x:is>
      </x:c>
      <x:c r="K4" s="3">
        <x:v>16.907</x:v>
      </x:c>
      <x:c r="L4" s="5" t="inlineStr">
        <x:is>
          <x:t xml:space="preserve">Limit Breaker</x:t>
        </x:is>
      </x:c>
      <x:c r="M4" s="3">
        <x:v>25.36</x:v>
      </x:c>
      <x:c r="N4" s="5" t="inlineStr">
        <x:is>
          <x:t xml:space="preserve">1.0</x:t>
        </x:is>
      </x:c>
      <x:c r="O4" s="5" t="inlineStr">
        <x:is>
          <x:t xml:space="preserve">Primary caps 4; recovery 2.4</x:t>
        </x:is>
      </x:c>
      <x:c r="P4" s="5" t="inlineStr">
        <x:is>
          <x:t xml:space="preserve">Human-derived utility; no direct damage override</x:t>
        </x:is>
      </x:c>
      <x:c r="Q4" s="5" t="inlineStr">
        <x:is>
          <x:t xml:space="preserve">Shared buffs</x:t>
        </x:is>
      </x:c>
      <x:c r="R4" t="inlineStr">
        <x:is>
          <x:t xml:space="preserve">UTILITY LOW BP</x:t>
        </x:is>
      </x:c>
    </x:row>
    <x:row r="5">
      <x:c r="A5" t="inlineStr">
        <x:is>
          <x:t xml:space="preserve">Saiyan</x:t>
        </x:is>
      </x:c>
      <x:c r="B5" t="inlineStr">
        <x:is>
          <x:t xml:space="preserve">Warrior / Low / Elite</x:t>
        </x:is>
      </x:c>
      <x:c r="C5" t="inlineStr">
        <x:is>
          <x:t xml:space="preserve">Standard</x:t>
        </x:is>
      </x:c>
      <x:c r="D5" s="3">
        <x:v>1.54</x:v>
      </x:c>
      <x:c r="E5" s="3">
        <x:v>11</x:v>
      </x:c>
      <x:c r="F5" s="3">
        <x:v>0.77</x:v>
      </x:c>
      <x:c r="G5" s="3">
        <x:v>8.47</x:v>
      </x:c>
      <x:c r="H5" s="5" t="inlineStr">
        <x:is>
          <x:t xml:space="preserve">Mastered SSJ4</x:t>
        </x:is>
      </x:c>
      <x:c r="I5" s="3">
        <x:v>24.699</x:v>
      </x:c>
      <x:c r="J5" s="5" t="inlineStr">
        <x:is>
          <x:t xml:space="preserve">SSB + God Ki</x:t>
        </x:is>
      </x:c>
      <x:c r="K5" s="3" t="inlineStr">
        <x:is>
          <x:t xml:space="preserve">14.86 + God BP</x:t>
        </x:is>
      </x:c>
      <x:c r="L5" s="5" t="inlineStr">
        <x:is>
          <x:t xml:space="preserve">SSJ4 + Limit Breaker</x:t>
        </x:is>
      </x:c>
      <x:c r="M5" s="3">
        <x:v>37.049</x:v>
      </x:c>
      <x:c r="N5" s="5" t="inlineStr">
        <x:is>
          <x:t xml:space="preserve">SSJ4 x1.3; form soft caps also apply</x:t>
        </x:is>
      </x:c>
      <x:c r="O5" s="5" t="inlineStr">
        <x:is>
          <x:t xml:space="preserve">Primary caps 2; class-specific stat presets</x:t>
        </x:is>
      </x:c>
      <x:c r="P5" s="5" t="inlineStr">
        <x:is>
          <x:t xml:space="preserve">Saiyan Power, anger, tail/Oozaru, permanent post-SSJ growth</x:t>
        </x:is>
      </x:c>
      <x:c r="Q5" s="5" t="inlineStr">
        <x:is>
          <x:t xml:space="preserve">God BP; fusion</x:t>
        </x:is>
      </x:c>
      <x:c r="R5" t="inlineStr">
        <x:is>
          <x:t xml:space="preserve">IN BAND</x:t>
        </x:is>
      </x:c>
    </x:row>
    <x:row r="6">
      <x:c r="A6" t="inlineStr">
        <x:is>
          <x:t xml:space="preserve">Half Saiyan</x:t>
        </x:is>
      </x:c>
      <x:c r="B6" t="inlineStr">
        <x:is>
          <x:t xml:space="preserve">Hybrid Potential</x:t>
        </x:is>
      </x:c>
      <x:c r="C6" t="inlineStr">
        <x:is>
          <x:t xml:space="preserve">Standard</x:t>
        </x:is>
      </x:c>
      <x:c r="D6" s="3">
        <x:v>1.725</x:v>
      </x:c>
      <x:c r="E6" s="3">
        <x:v>11</x:v>
      </x:c>
      <x:c r="F6" s="3">
        <x:v>0.69</x:v>
      </x:c>
      <x:c r="G6" s="3">
        <x:v>7.59</x:v>
      </x:c>
      <x:c r="H6" s="5" t="inlineStr">
        <x:is>
          <x:t xml:space="preserve">Mastered SSJ4</x:t>
        </x:is>
      </x:c>
      <x:c r="I6" s="3">
        <x:v>22.132</x:v>
      </x:c>
      <x:c r="J6" s="5" t="inlineStr">
        <x:is>
          <x:t xml:space="preserve">SSB + God Ki</x:t>
        </x:is>
      </x:c>
      <x:c r="K6" s="3" t="inlineStr">
        <x:is>
          <x:t xml:space="preserve">13.32 + God BP</x:t>
        </x:is>
      </x:c>
      <x:c r="L6" s="5" t="inlineStr">
        <x:is>
          <x:t xml:space="preserve">SSJ4 + Limit Breaker</x:t>
        </x:is>
      </x:c>
      <x:c r="M6" s="3">
        <x:v>33.198</x:v>
      </x:c>
      <x:c r="N6" s="5" t="inlineStr">
        <x:is>
          <x:t xml:space="preserve">SSJ4 x1.3</x:t>
        </x:is>
      </x:c>
      <x:c r="O6" s="5" t="inlineStr">
        <x:is>
          <x:t xml:space="preserve">Primary caps 2.5; anger cap 400</x:t>
        </x:is>
      </x:c>
      <x:c r="P6" s="5" t="inlineStr">
        <x:is>
          <x:t xml:space="preserve">Saiyan Power, transformations, highest anger ceiling</x:t>
        </x:is>
      </x:c>
      <x:c r="Q6" s="5" t="inlineStr">
        <x:is>
          <x:t xml:space="preserve">God BP; fusion</x:t>
        </x:is>
      </x:c>
      <x:c r="R6" t="inlineStr">
        <x:is>
          <x:t xml:space="preserve">IN BAND</x:t>
        </x:is>
      </x:c>
    </x:row>
    <x:row r="7">
      <x:c r="A7" t="inlineStr">
        <x:is>
          <x:t xml:space="preserve">Legendary Saiyan</x:t>
        </x:is>
      </x:c>
      <x:c r="B7" t="inlineStr">
        <x:is>
          <x:t xml:space="preserve">Legendary Berserker</x:t>
        </x:is>
      </x:c>
      <x:c r="C7" t="inlineStr">
        <x:is>
          <x:t xml:space="preserve">Exceptional</x:t>
        </x:is>
      </x:c>
      <x:c r="D7" s="3">
        <x:v>3.3</x:v>
      </x:c>
      <x:c r="E7" s="3">
        <x:v>11</x:v>
      </x:c>
      <x:c r="F7" s="3">
        <x:v>1.65</x:v>
      </x:c>
      <x:c r="G7" s="3">
        <x:v>18.15</x:v>
      </x:c>
      <x:c r="H7" s="5" t="inlineStr">
        <x:is>
          <x:t xml:space="preserve">Legendary SSJ1</x:t>
        </x:is>
      </x:c>
      <x:c r="I7" s="3">
        <x:v>33.079</x:v>
      </x:c>
      <x:c r="J7" s="5" t="inlineStr">
        <x:is>
          <x:t xml:space="preserve">Legendary SSJ1; Mystic lowers drain but adds no LSSJ BP</x:t>
        </x:is>
      </x:c>
      <x:c r="K7" s="3">
        <x:v>33.079</x:v>
      </x:c>
      <x:c r="L7" s="5" t="inlineStr">
        <x:is>
          <x:t xml:space="preserve">LSSJ + Limit Breaker</x:t>
        </x:is>
      </x:c>
      <x:c r="M7" s="3">
        <x:v>49.619</x:v>
      </x:c>
      <x:c r="N7" s="5" t="inlineStr">
        <x:is>
          <x:t xml:space="preserve">x0.83 from always-angry package</x:t>
        </x:is>
      </x:c>
      <x:c r="O7" s="5" t="inlineStr">
        <x:is>
          <x:t xml:space="preserve">End/Res preset 1.8; primary caps 2.5</x:t>
        </x:is>
      </x:c>
      <x:c r="P7" s="5" t="inlineStr">
        <x:is>
          <x:t xml:space="preserve">Growing LSSJ static BP, knockback/stun resistance, regeneration</x:t>
        </x:is>
      </x:c>
      <x:c r="Q7" s="5" t="inlineStr">
        <x:is>
          <x:t xml:space="preserve">God BP; fusion</x:t>
        </x:is>
      </x:c>
      <x:c r="R7" t="inlineStr">
        <x:is>
          <x:t xml:space="preserve">EXCEPTIONAL 33R</x:t>
        </x:is>
      </x:c>
    </x:row>
    <x:row r="8">
      <x:c r="A8" t="inlineStr">
        <x:is>
          <x:t xml:space="preserve">Alien</x:t>
        </x:is>
      </x:c>
      <x:c r="B8" t="inlineStr">
        <x:is>
          <x:t xml:space="preserve">Scholar / Predator</x:t>
        </x:is>
      </x:c>
      <x:c r="C8" t="inlineStr">
        <x:is>
          <x:t xml:space="preserve">Standard</x:t>
        </x:is>
      </x:c>
      <x:c r="D8" s="3">
        <x:v>1.55</x:v>
      </x:c>
      <x:c r="E8" s="3">
        <x:v>22.542</x:v>
      </x:c>
      <x:c r="F8" s="3">
        <x:v>1</x:v>
      </x:c>
      <x:c r="G8" s="3">
        <x:v>22.542</x:v>
      </x:c>
      <x:c r="H8" s="5" t="inlineStr">
        <x:is>
          <x:t xml:space="preserve">Mature untransformed</x:t>
        </x:is>
      </x:c>
      <x:c r="I8" s="3">
        <x:v>22.542</x:v>
      </x:c>
      <x:c r="J8" s="5" t="inlineStr">
        <x:is>
          <x:t xml:space="preserve">Selected 100-AP utility package</x:t>
        </x:is>
      </x:c>
      <x:c r="K8" s="3">
        <x:v>22.542</x:v>
      </x:c>
      <x:c r="L8" s="5" t="inlineStr">
        <x:is>
          <x:t xml:space="preserve">Limit Breaker if purchased</x:t>
        </x:is>
      </x:c>
      <x:c r="M8" s="3">
        <x:v>33.813</x:v>
      </x:c>
      <x:c r="N8" s="5" t="inlineStr">
        <x:is>
          <x:t xml:space="preserve">1.0</x:t>
        </x:is>
      </x:c>
      <x:c r="O8" s="5" t="inlineStr">
        <x:is>
          <x:t xml:space="preserve">Primary caps 5; Powerup depends on selected Energy</x:t>
        </x:is>
      </x:c>
      <x:c r="P8" s="5" t="inlineStr">
        <x:is>
          <x:t xml:space="preserve">100-AP abilities: time freeze, precog, absorb, zenkai, regen, mastery and others</x:t>
        </x:is>
      </x:c>
      <x:c r="Q8" s="5" t="inlineStr">
        <x:is>
          <x:t xml:space="preserve">Absorption only when purchased</x:t>
        </x:is>
      </x:c>
      <x:c r="R8" t="inlineStr">
        <x:is>
          <x:t xml:space="preserve">IN BAND</x:t>
        </x:is>
      </x:c>
    </x:row>
    <x:row r="9">
      <x:c r="A9" t="inlineStr">
        <x:is>
          <x:t xml:space="preserve">Alien</x:t>
        </x:is>
      </x:c>
      <x:c r="B9" t="inlineStr">
        <x:is>
          <x:t xml:space="preserve">Shifter options</x:t>
        </x:is>
      </x:c>
      <x:c r="C9" t="inlineStr">
        <x:is>
          <x:t xml:space="preserve">Standard</x:t>
        </x:is>
      </x:c>
      <x:c r="D9" s="3">
        <x:v>1.55</x:v>
      </x:c>
      <x:c r="E9" s="3">
        <x:v>22.542</x:v>
      </x:c>
      <x:c r="F9" s="3">
        <x:v>1</x:v>
      </x:c>
      <x:c r="G9" s="3">
        <x:v>22.542</x:v>
      </x:c>
      <x:c r="H9" s="5" t="inlineStr">
        <x:is>
          <x:t xml:space="preserve">Giant Form</x:t>
        </x:is>
      </x:c>
      <x:c r="I9" s="3">
        <x:v>27.051</x:v>
      </x:c>
      <x:c r="J9" s="5" t="inlineStr">
        <x:is>
          <x:t xml:space="preserve">One-primary rule prevents Giant + Alien Transform stacking</x:t>
        </x:is>
      </x:c>
      <x:c r="K9" s="3">
        <x:v>27.051</x:v>
      </x:c>
      <x:c r="L9" s="5" t="inlineStr">
        <x:is>
          <x:t xml:space="preserve">Giant + Limit Breaker</x:t>
        </x:is>
      </x:c>
      <x:c r="M9" s="3">
        <x:v>38.321</x:v>
      </x:c>
      <x:c r="N9" s="5" t="inlineStr">
        <x:is>
          <x:t xml:space="preserve">1.0</x:t>
        </x:is>
      </x:c>
      <x:c r="O9" s="5" t="inlineStr">
        <x:is>
          <x:t xml:space="preserve">Primary caps 5</x:t>
        </x:is>
      </x:c>
      <x:c r="P9" s="5" t="inlineStr">
        <x:is>
          <x:t xml:space="preserve">Custom AP package; stretchy arms, imitation and movement utility</x:t>
        </x:is>
      </x:c>
      <x:c r="Q9" s="5" t="inlineStr">
        <x:is>
          <x:t xml:space="preserve">Absorption only when purchased</x:t>
        </x:is>
      </x:c>
      <x:c r="R9" t="inlineStr">
        <x:is>
          <x:t xml:space="preserve">HIGH STANDARD</x:t>
        </x:is>
      </x:c>
    </x:row>
    <x:row r="10">
      <x:c r="A10" t="inlineStr">
        <x:is>
          <x:t xml:space="preserve">Alien</x:t>
        </x:is>
      </x:c>
      <x:c r="B10" t="inlineStr">
        <x:is>
          <x:t xml:space="preserve">Apex Genome option</x:t>
        </x:is>
      </x:c>
      <x:c r="C10" t="inlineStr">
        <x:is>
          <x:t xml:space="preserve">Standard</x:t>
        </x:is>
      </x:c>
      <x:c r="D10" s="3">
        <x:v>1.473</x:v>
      </x:c>
      <x:c r="E10" s="3">
        <x:v>22.542</x:v>
      </x:c>
      <x:c r="F10" s="3">
        <x:v>0.95</x:v>
      </x:c>
      <x:c r="G10" s="3">
        <x:v>21.415</x:v>
      </x:c>
      <x:c r="H10" s="5" t="inlineStr">
        <x:is>
          <x:t xml:space="preserve">Mature Apex Genome</x:t>
        </x:is>
      </x:c>
      <x:c r="I10" s="3">
        <x:v>21.415</x:v>
      </x:c>
      <x:c r="J10" s="5" t="inlineStr">
        <x:is>
          <x:t xml:space="preserve">Same</x:t>
        </x:is>
      </x:c>
      <x:c r="K10" s="3">
        <x:v>21.415</x:v>
      </x:c>
      <x:c r="L10" s="5" t="inlineStr">
        <x:is>
          <x:t xml:space="preserve">Limit Breaker if purchased separately within AP budget</x:t>
        </x:is>
      </x:c>
      <x:c r="M10" s="3">
        <x:v>32.122</x:v>
      </x:c>
      <x:c r="N10" s="5" t="inlineStr">
        <x:is>
          <x:t xml:space="preserve">x0.75; no anger</x:t>
        </x:is>
      </x:c>
      <x:c r="O10" s="5" t="inlineStr">
        <x:is>
          <x:t xml:space="preserve">Primary caps 5</x:t>
        </x:is>
      </x:c>
      <x:c r="P10" s="5" t="inlineStr">
        <x:is>
          <x:t xml:space="preserve">Knockback/stun resistance, no anger; 50 AP opportunity cost</x:t>
        </x:is>
      </x:c>
      <x:c r="Q10" s="5" t="inlineStr">
        <x:is>
          <x:t xml:space="preserve">Cannot simultaneously buy every Alien utility</x:t>
        </x:is>
      </x:c>
      <x:c r="R10" t="inlineStr">
        <x:is>
          <x:t xml:space="preserve">IN BAND</x:t>
        </x:is>
      </x:c>
    </x:row>
    <x:row r="11">
      <x:c r="A11" t="inlineStr">
        <x:is>
          <x:t xml:space="preserve">Android</x:t>
        </x:is>
      </x:c>
      <x:c r="B11" t="inlineStr">
        <x:is>
          <x:t xml:space="preserve">Chassis / Infiltrator</x:t>
        </x:is>
      </x:c>
      <x:c r="C11" t="inlineStr">
        <x:is>
          <x:t xml:space="preserve">Exceptional</x:t>
        </x:is>
      </x:c>
      <x:c r="D11" s="3">
        <x:v>1.35</x:v>
      </x:c>
      <x:c r="E11" s="3" t="inlineStr">
        <x:is>
          <x:t xml:space="preserve">External</x:t>
        </x:is>
      </x:c>
      <x:c r="F11" s="3">
        <x:v>1.35</x:v>
      </x:c>
      <x:c r="G11" s="3" t="inlineStr">
        <x:is>
          <x:t xml:space="preserve">Cyber replaces natural</x:t>
        </x:is>
      </x:c>
      <x:c r="H11" s="5" t="inlineStr">
        <x:is>
          <x:t xml:space="preserve">Cyber cap with normal modules</x:t>
        </x:is>
      </x:c>
      <x:c r="I11" s="3" t="inlineStr">
        <x:is>
          <x:t xml:space="preserve">External</x:t>
        </x:is>
      </x:c>
      <x:c r="J11" s="5" t="inlineStr">
        <x:is>
          <x:t xml:space="preserve">Overdrive / module package</x:t>
        </x:is>
      </x:c>
      <x:c r="K11" s="3" t="inlineStr">
        <x:is>
          <x:t xml:space="preserve">External</x:t>
        </x:is>
      </x:c>
      <x:c r="L11" s="5" t="inlineStr">
        <x:is>
          <x:t xml:space="preserve">Overdrive x1.5 cyber</x:t>
        </x:is>
      </x:c>
      <x:c r="M11" s="3" t="inlineStr">
        <x:is>
          <x:t xml:space="preserve">External</x:t>
        </x:is>
      </x:c>
      <x:c r="N11" s="5" t="inlineStr">
        <x:is>
          <x:t xml:space="preserve">27*KiMod^0.9; no anger</x:t>
        </x:is>
      </x:c>
      <x:c r="O11" s="5" t="inlineStr">
        <x:is>
          <x:t xml:space="preserve">Primary caps 5; Force starts 0.8</x:t>
        </x:is>
      </x:c>
      <x:c r="P11" s="5" t="inlineStr">
        <x:is>
          <x:t xml:space="preserve">Modules, shields, absorb, rebuild, infinite lifespan; incoming 0.55</x:t>
        </x:is>
      </x:c>
      <x:c r="Q11" s="5" t="inlineStr">
        <x:is>
          <x:t xml:space="preserve">Knowledge*Intelligence^0.1*cyber_bp_mod*1.8*tools*1.1; must be scenario input</x:t>
        </x:is>
      </x:c>
      <x:c r="R11" t="inlineStr">
        <x:is>
          <x:t xml:space="preserve">S5 REQUIRED</x:t>
        </x:is>
      </x:c>
    </x:row>
    <x:row r="12">
      <x:c r="A12" t="inlineStr">
        <x:is>
          <x:t xml:space="preserve">Bio-Android</x:t>
        </x:is>
      </x:c>
      <x:c r="B12" t="inlineStr">
        <x:is>
          <x:t xml:space="preserve">Adaptive Genome</x:t>
        </x:is>
      </x:c>
      <x:c r="C12" t="inlineStr">
        <x:is>
          <x:t xml:space="preserve">Exceptional</x:t>
        </x:is>
      </x:c>
      <x:c r="D12" s="3">
        <x:v>2.31</x:v>
      </x:c>
      <x:c r="E12" s="3">
        <x:v>18.785</x:v>
      </x:c>
      <x:c r="F12" s="3">
        <x:v>1.1</x:v>
      </x:c>
      <x:c r="G12" s="3">
        <x:v>20.664</x:v>
      </x:c>
      <x:c r="H12" s="5" t="inlineStr">
        <x:is>
          <x:t xml:space="preserve">Perfect Form x1.6</x:t>
        </x:is>
      </x:c>
      <x:c r="I12" s="3">
        <x:v>33.062</x:v>
      </x:c>
      <x:c r="J12" s="5" t="inlineStr">
        <x:is>
          <x:t xml:space="preserve">Absorption progression excluded from equal-R base</x:t>
        </x:is>
      </x:c>
      <x:c r="K12" s="3">
        <x:v>33.062</x:v>
      </x:c>
      <x:c r="L12" s="5" t="inlineStr">
        <x:is>
          <x:t xml:space="preserve">Perfect + Limit Breaker</x:t>
        </x:is>
      </x:c>
      <x:c r="M12" s="3">
        <x:v>49.593</x:v>
      </x:c>
      <x:c r="N12" s="5" t="inlineStr">
        <x:is>
          <x:t xml:space="preserve">1.0</x:t>
        </x:is>
      </x:c>
      <x:c r="O12" s="5" t="inlineStr">
        <x:is>
          <x:t xml:space="preserve">Primary caps 2.5; Spd/Res preset 1.4</x:t>
        </x:is>
      </x:c>
      <x:c r="P12" s="5" t="inlineStr">
        <x:is>
          <x:t xml:space="preserve">Regeneration, absorption, permanent body evolution, stun resistance</x:t>
        </x:is>
      </x:c>
      <x:c r="Q12" s="5" t="inlineStr">
        <x:is>
          <x:t xml:space="preserve">Sequential absorption gap closure</x:t>
        </x:is>
      </x:c>
      <x:c r="R12" t="inlineStr">
        <x:is>
          <x:t xml:space="preserve">EXCEPTIONAL 33R</x:t>
        </x:is>
      </x:c>
    </x:row>
    <x:row r="13">
      <x:c r="A13" t="inlineStr">
        <x:is>
          <x:t xml:space="preserve">Demigod</x:t>
        </x:is>
      </x:c>
      <x:c r="B13" t="inlineStr">
        <x:is>
          <x:t xml:space="preserve">Divine Heritage</x:t>
        </x:is>
      </x:c>
      <x:c r="C13" t="inlineStr">
        <x:is>
          <x:t xml:space="preserve">Standard</x:t>
        </x:is>
      </x:c>
      <x:c r="D13" s="3">
        <x:v>1.65</x:v>
      </x:c>
      <x:c r="E13" s="3">
        <x:v>30.056</x:v>
      </x:c>
      <x:c r="F13" s="3">
        <x:v>0.66</x:v>
      </x:c>
      <x:c r="G13" s="3">
        <x:v>19.837</x:v>
      </x:c>
      <x:c r="H13" s="5" t="inlineStr">
        <x:is>
          <x:t xml:space="preserve">Mature untransformed</x:t>
        </x:is>
      </x:c>
      <x:c r="I13" s="3">
        <x:v>19.837</x:v>
      </x:c>
      <x:c r="J13" s="5" t="inlineStr">
        <x:is>
          <x:t xml:space="preserve">Shared learned buffs</x:t>
        </x:is>
      </x:c>
      <x:c r="K13" s="3">
        <x:v>19.837</x:v>
      </x:c>
      <x:c r="L13" s="5" t="inlineStr">
        <x:is>
          <x:t xml:space="preserve">Limit Breaker</x:t>
        </x:is>
      </x:c>
      <x:c r="M13" s="3">
        <x:v>29.756</x:v>
      </x:c>
      <x:c r="N13" s="5" t="inlineStr">
        <x:is>
          <x:t xml:space="preserve">1.0</x:t>
        </x:is>
      </x:c>
      <x:c r="O13" s="5" t="inlineStr">
        <x:is>
          <x:t xml:space="preserve">Energy cap 4; others 2; only 24 points</x:t>
        </x:is>
      </x:c>
      <x:c r="P13" s="5" t="inlineStr">
        <x:is>
          <x:t xml:space="preserve">Early Zanzoken and high ascension scaling</x:t>
        </x:is>
      </x:c>
      <x:c r="Q13" s="5" t="inlineStr">
        <x:is>
          <x:t xml:space="preserve">God/shared buffs</x:t>
        </x:is>
      </x:c>
      <x:c r="R13" t="inlineStr">
        <x:is>
          <x:t xml:space="preserve">IN BAND</x:t>
        </x:is>
      </x:c>
    </x:row>
    <x:row r="14">
      <x:c r="A14" t="inlineStr">
        <x:is>
          <x:t xml:space="preserve">Demon</x:t>
        </x:is>
      </x:c>
      <x:c r="B14" t="inlineStr">
        <x:is>
          <x:t xml:space="preserve">Soulbound</x:t>
        </x:is>
      </x:c>
      <x:c r="C14" t="inlineStr">
        <x:is>
          <x:t xml:space="preserve">Standard</x:t>
        </x:is>
      </x:c>
      <x:c r="D14" s="3">
        <x:v>1.85</x:v>
      </x:c>
      <x:c r="E14" s="3">
        <x:v>18.785</x:v>
      </x:c>
      <x:c r="F14" s="3">
        <x:v>1</x:v>
      </x:c>
      <x:c r="G14" s="3">
        <x:v>18.785</x:v>
      </x:c>
      <x:c r="H14" s="5" t="inlineStr">
        <x:is>
          <x:t xml:space="preserve">Three effective souls x1.3</x:t>
        </x:is>
      </x:c>
      <x:c r="I14" s="3">
        <x:v>24.421</x:v>
      </x:c>
      <x:c r="J14" s="5" t="inlineStr">
        <x:is>
          <x:t xml:space="preserve">Same</x:t>
        </x:is>
      </x:c>
      <x:c r="K14" s="3">
        <x:v>24.421</x:v>
      </x:c>
      <x:c r="L14" s="5" t="inlineStr">
        <x:is>
          <x:t xml:space="preserve">Three souls + Limit Breaker</x:t>
        </x:is>
      </x:c>
      <x:c r="M14" s="3">
        <x:v>36.632</x:v>
      </x:c>
      <x:c r="N14" s="5" t="inlineStr">
        <x:is>
          <x:t xml:space="preserve">1.0</x:t>
        </x:is>
      </x:c>
      <x:c r="O14" s="5" t="inlineStr">
        <x:is>
          <x:t xml:space="preserve">Primary caps 2; regen cap 4</x:t>
        </x:is>
      </x:c>
      <x:c r="P14" s="5" t="inlineStr">
        <x:is>
          <x:t xml:space="preserve">Soul Energy, capped soul BP, death utility</x:t>
        </x:is>
      </x:c>
      <x:c r="Q14" s="5" t="inlineStr">
        <x:is>
          <x:t xml:space="preserve">External soul acquisition capped at three</x:t>
        </x:is>
      </x:c>
      <x:c r="R14" t="inlineStr">
        <x:is>
          <x:t xml:space="preserve">IN BAND</x:t>
        </x:is>
      </x:c>
    </x:row>
    <x:row r="15">
      <x:c r="A15" t="inlineStr">
        <x:is>
          <x:t xml:space="preserve">Frost Lord</x:t>
        </x:is>
      </x:c>
      <x:c r="B15" t="inlineStr">
        <x:is>
          <x:t xml:space="preserve">Imperial Heir</x:t>
        </x:is>
      </x:c>
      <x:c r="C15" t="inlineStr">
        <x:is>
          <x:t xml:space="preserve">Standard</x:t>
        </x:is>
      </x:c>
      <x:c r="D15" s="3">
        <x:v>1.68</x:v>
      </x:c>
      <x:c r="E15" s="3">
        <x:v>18.785</x:v>
      </x:c>
      <x:c r="F15" s="3">
        <x:v>0.8</x:v>
      </x:c>
      <x:c r="G15" s="3">
        <x:v>15.028</x:v>
      </x:c>
      <x:c r="H15" s="5" t="inlineStr">
        <x:is>
          <x:t xml:space="preserve">Final Form additions</x:t>
        </x:is>
      </x:c>
      <x:c r="I15" s="3">
        <x:v>22.242</x:v>
      </x:c>
      <x:c r="J15" s="5" t="inlineStr">
        <x:is>
          <x:t xml:space="preserve">Gold + God Ki</x:t>
        </x:is>
      </x:c>
      <x:c r="K15" s="3" t="inlineStr">
        <x:is>
          <x:t xml:space="preserve">37.59 + God BP</x:t>
        </x:is>
      </x:c>
      <x:c r="L15" s="5" t="inlineStr">
        <x:is>
          <x:t xml:space="preserve">Final + Limit Breaker</x:t>
        </x:is>
      </x:c>
      <x:c r="M15" s="3">
        <x:v>33.363</x:v>
      </x:c>
      <x:c r="N15" s="5" t="inlineStr">
        <x:is>
          <x:t xml:space="preserve">1.0</x:t>
        </x:is>
      </x:c>
      <x:c r="O15" s="5" t="inlineStr">
        <x:is>
          <x:t xml:space="preserve">Combat caps 1.9; Energy 2.5</x:t>
        </x:is>
      </x:c>
      <x:c r="P15" s="5" t="inlineStr">
        <x:is>
          <x:t xml:space="preserve">Spawns with all native forms; Death Ball path</x:t>
        </x:is>
      </x:c>
      <x:c r="Q15" s="5" t="inlineStr">
        <x:is>
          <x:t xml:space="preserve">Gold/God BP</x:t>
        </x:is>
      </x:c>
      <x:c r="R15" t="inlineStr">
        <x:is>
          <x:t xml:space="preserve">IN BAND</x:t>
        </x:is>
      </x:c>
    </x:row>
    <x:row r="16">
      <x:c r="A16" t="inlineStr">
        <x:is>
          <x:t xml:space="preserve">Frost Lord</x:t>
        </x:is>
      </x:c>
      <x:c r="B16" t="inlineStr">
        <x:is>
          <x:t xml:space="preserve">Cooler</x:t>
        </x:is>
      </x:c>
      <x:c r="C16" t="inlineStr">
        <x:is>
          <x:t xml:space="preserve">Exceptional</x:t>
        </x:is>
      </x:c>
      <x:c r="D16" s="3">
        <x:v>1.596</x:v>
      </x:c>
      <x:c r="E16" s="3">
        <x:v>18.785</x:v>
      </x:c>
      <x:c r="F16" s="3">
        <x:v>0.76</x:v>
      </x:c>
      <x:c r="G16" s="3">
        <x:v>14.276</x:v>
      </x:c>
      <x:c r="H16" s="5" t="inlineStr">
        <x:is>
          <x:t xml:space="preserve">Fifth Form additions</x:t>
        </x:is>
      </x:c>
      <x:c r="I16" s="3">
        <x:v>33.12</x:v>
      </x:c>
      <x:c r="J16" s="5" t="inlineStr">
        <x:is>
          <x:t xml:space="preserve">Gold + God Ki</x:t>
        </x:is>
      </x:c>
      <x:c r="K16" s="3" t="inlineStr">
        <x:is>
          <x:t xml:space="preserve">55.97 + God BP</x:t>
        </x:is>
      </x:c>
      <x:c r="L16" s="5" t="inlineStr">
        <x:is>
          <x:t xml:space="preserve">Fifth + Limit Breaker</x:t>
        </x:is>
      </x:c>
      <x:c r="M16" s="3">
        <x:v>49.68</x:v>
      </x:c>
      <x:c r="N16" s="5" t="inlineStr">
        <x:is>
          <x:t xml:space="preserve">1.0</x:t>
        </x:is>
      </x:c>
      <x:c r="O16" s="5" t="inlineStr">
        <x:is>
          <x:t xml:space="preserve">Combat caps 1.9; Energy 2.5</x:t>
        </x:is>
      </x:c>
      <x:c r="P16" s="5" t="inlineStr">
        <x:is>
          <x:t xml:space="preserve">Fifth form, rare creation lineage, expanded racial skill package</x:t>
        </x:is>
      </x:c>
      <x:c r="Q16" s="5" t="inlineStr">
        <x:is>
          <x:t xml:space="preserve">Gold/God BP</x:t>
        </x:is>
      </x:c>
      <x:c r="R16" t="inlineStr">
        <x:is>
          <x:t xml:space="preserve">EXCEPTIONAL 33R</x:t>
        </x:is>
      </x:c>
    </x:row>
    <x:row r="17">
      <x:c r="A17" t="inlineStr">
        <x:is>
          <x:t xml:space="preserve">Kai</x:t>
        </x:is>
      </x:c>
      <x:c r="B17" t="inlineStr">
        <x:is>
          <x:t xml:space="preserve">Guardian</x:t>
        </x:is>
      </x:c>
      <x:c r="C17" t="inlineStr">
        <x:is>
          <x:t xml:space="preserve">Standard</x:t>
        </x:is>
      </x:c>
      <x:c r="D17" s="3">
        <x:v>1.8</x:v>
      </x:c>
      <x:c r="E17" s="3">
        <x:v>24.421</x:v>
      </x:c>
      <x:c r="F17" s="3">
        <x:v>1</x:v>
      </x:c>
      <x:c r="G17" s="3">
        <x:v>24.421</x:v>
      </x:c>
      <x:c r="H17" s="5" t="inlineStr">
        <x:is>
          <x:t xml:space="preserve">Mature untransformed</x:t>
        </x:is>
      </x:c>
      <x:c r="I17" s="3">
        <x:v>24.421</x:v>
      </x:c>
      <x:c r="J17" s="5" t="inlineStr">
        <x:is>
          <x:t xml:space="preserve">God/support progression</x:t>
        </x:is>
      </x:c>
      <x:c r="K17" s="3">
        <x:v>24.421</x:v>
      </x:c>
      <x:c r="L17" s="5" t="inlineStr">
        <x:is>
          <x:t xml:space="preserve">Limit Breaker</x:t>
        </x:is>
      </x:c>
      <x:c r="M17" s="3">
        <x:v>36.632</x:v>
      </x:c>
      <x:c r="N17" s="5" t="inlineStr">
        <x:is>
          <x:t xml:space="preserve">1.0</x:t>
        </x:is>
      </x:c>
      <x:c r="O17" s="5" t="inlineStr">
        <x:is>
          <x:t xml:space="preserve">Primary caps 5; Energy 1.3; Speed 1.5</x:t>
        </x:is>
      </x:c>
      <x:c r="P17" s="5" t="inlineStr">
        <x:is>
          <x:t xml:space="preserve">High recovery, afterlife and support utility</x:t>
        </x:is>
      </x:c>
      <x:c r="Q17" s="5" t="inlineStr">
        <x:is>
          <x:t xml:space="preserve">God/shared buffs</x:t>
        </x:is>
      </x:c>
      <x:c r="R17" t="inlineStr">
        <x:is>
          <x:t xml:space="preserve">IN BAND</x:t>
        </x:is>
      </x:c>
    </x:row>
    <x:row r="18">
      <x:c r="A18" t="inlineStr">
        <x:is>
          <x:t xml:space="preserve">Makyo</x:t>
        </x:is>
      </x:c>
      <x:c r="B18" t="inlineStr">
        <x:is>
          <x:t xml:space="preserve">Starborn</x:t>
        </x:is>
      </x:c>
      <x:c r="C18" t="inlineStr">
        <x:is>
          <x:t xml:space="preserve">Standard</x:t>
        </x:is>
      </x:c>
      <x:c r="D18" s="3">
        <x:v>1.425</x:v>
      </x:c>
      <x:c r="E18" s="3">
        <x:v>18.785</x:v>
      </x:c>
      <x:c r="F18" s="3">
        <x:v>0.77</x:v>
      </x:c>
      <x:c r="G18" s="3">
        <x:v>14.465</x:v>
      </x:c>
      <x:c r="H18" s="5" t="inlineStr">
        <x:is>
          <x:t xml:space="preserve">Makyo Giant (bp_mult +0.5)</x:t>
        </x:is>
      </x:c>
      <x:c r="I18" s="3">
        <x:v>21.697</x:v>
      </x:c>
      <x:c r="J18" s="5" t="inlineStr">
        <x:is>
          <x:t xml:space="preserve">Makyo Star uptime scenario separate</x:t>
        </x:is>
      </x:c>
      <x:c r="K18" s="3">
        <x:v>21.697</x:v>
      </x:c>
      <x:c r="L18" s="5" t="inlineStr">
        <x:is>
          <x:t xml:space="preserve">Giant + Limit Breaker (bp_mult 2.0 total)</x:t>
        </x:is>
      </x:c>
      <x:c r="M18" s="3">
        <x:v>28.93</x:v>
      </x:c>
      <x:c r="N18" s="5" t="inlineStr">
        <x:is>
          <x:t xml:space="preserve">1.0</x:t>
        </x:is>
      </x:c>
      <x:c r="O18" s="5" t="inlineStr">
        <x:is>
          <x:t xml:space="preserve">Energy cap 2.5; others 2</x:t>
        </x:is>
      </x:c>
      <x:c r="P18" s="5" t="inlineStr">
        <x:is>
          <x:t xml:space="preserve">Makyo Star, Giant stat package</x:t>
        </x:is>
      </x:c>
      <x:c r="Q18" s="5" t="inlineStr">
        <x:is>
          <x:t xml:space="preserve">Celestial uptime</x:t>
        </x:is>
      </x:c>
      <x:c r="R18" t="inlineStr">
        <x:is>
          <x:t xml:space="preserve">IN BAND</x:t>
        </x:is>
      </x:c>
    </x:row>
    <x:row r="19">
      <x:c r="A19" t="inlineStr">
        <x:is>
          <x:t xml:space="preserve">Majin</x:t>
        </x:is>
      </x:c>
      <x:c r="B19" t="inlineStr">
        <x:is>
          <x:t xml:space="preserve">Primal Fragment</x:t>
        </x:is>
      </x:c>
      <x:c r="C19" t="inlineStr">
        <x:is>
          <x:t xml:space="preserve">Exceptional</x:t>
        </x:is>
      </x:c>
      <x:c r="D19" s="3">
        <x:v>2.882</x:v>
      </x:c>
      <x:c r="E19" s="3">
        <x:v>24.421</x:v>
      </x:c>
      <x:c r="F19" s="3">
        <x:v>1.13</x:v>
      </x:c>
      <x:c r="G19" s="3">
        <x:v>27.596</x:v>
      </x:c>
      <x:c r="H19" s="5" t="inlineStr">
        <x:is>
          <x:t xml:space="preserve">Majin buff (bp_mult +0.2)</x:t>
        </x:is>
      </x:c>
      <x:c r="I19" s="3">
        <x:v>33.115</x:v>
      </x:c>
      <x:c r="J19" s="5" t="inlineStr">
        <x:is>
          <x:t xml:space="preserve">Same sustainable package</x:t>
        </x:is>
      </x:c>
      <x:c r="K19" s="3">
        <x:v>33.115</x:v>
      </x:c>
      <x:c r="L19" s="5" t="inlineStr">
        <x:is>
          <x:t xml:space="preserve">Majin + Limit Breaker (bp_mult 1.7 total)</x:t>
        </x:is>
      </x:c>
      <x:c r="M19" s="3">
        <x:v>46.913</x:v>
      </x:c>
      <x:c r="N19" s="5" t="inlineStr">
        <x:is>
          <x:t xml:space="preserve">1.0</x:t>
        </x:is>
      </x:c>
      <x:c r="O19" s="5" t="inlineStr">
        <x:is>
          <x:t xml:space="preserve">Primary caps 3; post-allocation End/Res x0.77</x:t>
        </x:is>
      </x:c>
      <x:c r="P19" s="5" t="inlineStr">
        <x:is>
          <x:t xml:space="preserve">Extreme regeneration, stretchy arms, imitation, Majin buff cost penalty</x:t>
        </x:is>
      </x:c>
      <x:c r="Q19" s="5" t="inlineStr">
        <x:is>
          <x:t xml:space="preserve">Absorption/fusion if externally acquired</x:t>
        </x:is>
      </x:c>
      <x:c r="R19" t="inlineStr">
        <x:is>
          <x:t xml:space="preserve">EXCEPTIONAL 33R</x:t>
        </x:is>
      </x:c>
    </x:row>
    <x:row r="20">
      <x:c r="A20" t="inlineStr">
        <x:is>
          <x:t xml:space="preserve">Namekian</x:t>
        </x:is>
      </x:c>
      <x:c r="B20" t="inlineStr">
        <x:is>
          <x:t xml:space="preserve">Dragon Clan</x:t>
        </x:is>
      </x:c>
      <x:c r="C20" t="inlineStr">
        <x:is>
          <x:t xml:space="preserve">Standard</x:t>
        </x:is>
      </x:c>
      <x:c r="D20" s="3">
        <x:v>1.65</x:v>
      </x:c>
      <x:c r="E20" s="3">
        <x:v>18.785</x:v>
      </x:c>
      <x:c r="F20" s="3">
        <x:v>1</x:v>
      </x:c>
      <x:c r="G20" s="3">
        <x:v>18.785</x:v>
      </x:c>
      <x:c r="H20" s="5" t="inlineStr">
        <x:is>
          <x:t xml:space="preserve">Mature untransformed</x:t>
        </x:is>
      </x:c>
      <x:c r="I20" s="3">
        <x:v>18.785</x:v>
      </x:c>
      <x:c r="J20" s="5" t="inlineStr">
        <x:is>
          <x:t xml:space="preserve">Fusion scenario separate</x:t>
        </x:is>
      </x:c>
      <x:c r="K20" s="3">
        <x:v>18.785</x:v>
      </x:c>
      <x:c r="L20" s="5" t="inlineStr">
        <x:is>
          <x:t xml:space="preserve">Limit Breaker</x:t>
        </x:is>
      </x:c>
      <x:c r="M20" s="3">
        <x:v>28.178</x:v>
      </x:c>
      <x:c r="N20" s="5" t="inlineStr">
        <x:is>
          <x:t xml:space="preserve">1.0</x:t>
        </x:is>
      </x:c>
      <x:c r="O20" s="5" t="inlineStr">
        <x:is>
          <x:t xml:space="preserve">Primary caps 4; Defense preset 1.5</x:t>
        </x:is>
      </x:c>
      <x:c r="P20" s="5" t="inlineStr">
        <x:is>
          <x:t xml:space="preserve">Regeneration, 500px arms, Namekian fusion, Zanzoken</x:t>
        </x:is>
      </x:c>
      <x:c r="Q20" s="5" t="inlineStr">
        <x:is>
          <x:t xml:space="preserve">Namekian fusion</x:t>
        </x:is>
      </x:c>
      <x:c r="R20" t="inlineStr">
        <x:is>
          <x:t xml:space="preserve">UTILITY LOW BP</x:t>
        </x:is>
      </x:c>
    </x:row>
    <x:row r="21">
      <x:c r="A21" t="inlineStr">
        <x:is>
          <x:t xml:space="preserve">Tsujin</x:t>
        </x:is>
      </x:c>
      <x:c r="B21" t="inlineStr">
        <x:is>
          <x:t xml:space="preserve">Engineer</x:t>
        </x:is>
      </x:c>
      <x:c r="C21" t="inlineStr">
        <x:is>
          <x:t xml:space="preserve">Standard</x:t>
        </x:is>
      </x:c>
      <x:c r="D21" s="3">
        <x:v>1.28</x:v>
      </x:c>
      <x:c r="E21" s="3">
        <x:v>15.028</x:v>
      </x:c>
      <x:c r="F21" s="3">
        <x:v>1</x:v>
      </x:c>
      <x:c r="G21" s="3">
        <x:v>15.028</x:v>
      </x:c>
      <x:c r="H21" s="5" t="inlineStr">
        <x:is>
          <x:t xml:space="preserve">Mature untransformed</x:t>
        </x:is>
      </x:c>
      <x:c r="I21" s="3">
        <x:v>15.028</x:v>
      </x:c>
      <x:c r="J21" s="5" t="inlineStr">
        <x:is>
          <x:t xml:space="preserve">Technology progression separate</x:t>
        </x:is>
      </x:c>
      <x:c r="K21" s="3">
        <x:v>15.028</x:v>
      </x:c>
      <x:c r="L21" s="5" t="inlineStr">
        <x:is>
          <x:t xml:space="preserve">Limit Breaker</x:t>
        </x:is>
      </x:c>
      <x:c r="M21" s="3">
        <x:v>22.542</x:v>
      </x:c>
      <x:c r="N21" s="5" t="inlineStr">
        <x:is>
          <x:t xml:space="preserve">1.0</x:t>
        </x:is>
      </x:c>
      <x:c r="O21" s="5" t="inlineStr">
        <x:is>
          <x:t xml:space="preserve">Primary caps 2.5; 55-point budget</x:t>
        </x:is>
      </x:c>
      <x:c r="P21" s="5" t="inlineStr">
        <x:is>
          <x:t xml:space="preserve">Technology and knowledge economy</x:t>
        </x:is>
      </x:c>
      <x:c r="Q21" s="5" t="inlineStr">
        <x:is>
          <x:t xml:space="preserve">Technology equipment/cyber</x:t>
        </x:is>
      </x:c>
      <x:c r="R21" t="inlineStr">
        <x:is>
          <x:t xml:space="preserve">S5 UTILITY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customWidth="1"/>
    <x:col min="2" max="2" width="34" customWidth="1"/>
    <x:col min="3" max="3" width="18" customWidth="1"/>
    <x:col min="4" max="4" width="84" customWidth="1"/>
    <x:col min="5" max="5" width="18" customWidth="1"/>
    <x:col min="6" max="6" width="78" customWidth="1"/>
  </x:cols>
  <x:sheetData>
    <x:row r="1">
      <x:c r="A1" s="2" t="inlineStr">
        <x:is>
          <x:t xml:space="preserve">Modules, Transformations and Buffs</x:t>
        </x:is>
      </x:c>
      <x:c r="B1" s="2" t="inlineStr">
        <x:is>
          <x:t xml:space="preserve">Only active damage/BP/stat/cost effects are listed; dead branches are explicitly flagged.</x:t>
        </x:is>
      </x:c>
    </x:row>
    <x:row r="2">
      <x:c r="A2" s="1" t="inlineStr">
        <x:is>
          <x:t xml:space="preserve">Kind</x:t>
        </x:is>
      </x:c>
      <x:c r="B2" s="1" t="inlineStr">
        <x:is>
          <x:t xml:space="preserve">Name / type</x:t>
        </x:is>
      </x:c>
      <x:c r="C2" s="1" t="inlineStr">
        <x:is>
          <x:t xml:space="preserve">Pipeline phase</x:t>
        </x:is>
      </x:c>
      <x:c r="D2" s="1" t="inlineStr">
        <x:is>
          <x:t xml:space="preserve">Exact effect</x:t>
        </x:is>
      </x:c>
      <x:c r="E2" s="1" t="inlineStr">
        <x:is>
          <x:t xml:space="preserve">Status</x:t>
        </x:is>
      </x:c>
      <x:c r="F2" s="1" t="inlineStr">
        <x:is>
          <x:t xml:space="preserve">Source</x:t>
        </x:is>
      </x:c>
    </x:row>
    <x:row r="3">
      <x:c r="A3" t="inlineStr">
        <x:is>
          <x:t xml:space="preserve">Module</x:t>
        </x:is>
      </x:c>
      <x:c r="B3" t="inlineStr">
        <x:is>
          <x:t xml:space="preserve">Giant Version</x:t>
        </x:is>
      </x:c>
      <x:c r="C3" t="inlineStr">
        <x:is>
          <x:t xml:space="preserve">Stats</x:t>
        </x:is>
      </x:c>
      <x:c r="D3" s="5" t="inlineStr">
        <x:is>
          <x:t xml:space="preserve">Str/End/Res x1.3; Spd x0.5</x:t>
        </x:is>
      </x:c>
      <x:c r="E3" t="inlineStr">
        <x:is>
          <x:t xml:space="preserve">Active</x:t>
        </x:is>
      </x:c>
      <x:c r="F3" s="5" t="inlineStr">
        <x:is>
          <x:t xml:space="preserve">Technology/Cybernetics.dm:84-90</x:t>
        </x:is>
      </x:c>
    </x:row>
    <x:row r="4">
      <x:c r="A4" t="inlineStr">
        <x:is>
          <x:t xml:space="preserve">Module</x:t>
        </x:is>
      </x:c>
      <x:c r="B4" t="inlineStr">
        <x:is>
          <x:t xml:space="preserve">Body Swap</x:t>
        </x:is>
      </x:c>
      <x:c r="C4" t="inlineStr">
        <x:is>
          <x:t xml:space="preserve">Cyber BP</x:t>
        </x:is>
      </x:c>
      <x:c r="D4" s="5" t="inlineStr">
        <x:is>
          <x:t xml:space="preserve">End/Res/Def x0.95; cyber contribution x0.67</x:t>
        </x:is>
      </x:c>
      <x:c r="E4" t="inlineStr">
        <x:is>
          <x:t xml:space="preserve">Compiled; Cost 0</x:t>
        </x:is>
      </x:c>
      <x:c r="F4" s="5" t="inlineStr">
        <x:is>
          <x:t xml:space="preserve">Technology/Cybernetics.dm:92-103; StatLoop.dm:67-69</x:t>
        </x:is>
      </x:c>
    </x:row>
    <x:row r="5">
      <x:c r="A5" t="inlineStr">
        <x:is>
          <x:t xml:space="preserve">Module</x:t>
        </x:is>
      </x:c>
      <x:c r="B5" t="inlineStr">
        <x:is>
          <x:t xml:space="preserve">Scrap Absorb</x:t>
        </x:is>
      </x:c>
      <x:c r="C5" t="inlineStr">
        <x:is>
          <x:t xml:space="preserve">Cyber BP</x:t>
        </x:is>
      </x:c>
      <x:c r="D5" s="5" t="inlineStr">
        <x:is>
          <x:t xml:space="preserve">Temporarily adds 0.5 x scrap cyber BP for 900 ticks</x:t>
        </x:is>
      </x:c>
      <x:c r="E5" t="inlineStr">
        <x:is>
          <x:t xml:space="preserve">Active; Android</x:t>
        </x:is>
      </x:c>
      <x:c r="F5" s="5" t="inlineStr">
        <x:is>
          <x:t xml:space="preserve">Technology/Cybernetics.dm:118-123,1489-1566</x:t>
        </x:is>
      </x:c>
    </x:row>
    <x:row r="6">
      <x:c r="A6" t="inlineStr">
        <x:is>
          <x:t xml:space="preserve">Module</x:t>
        </x:is>
      </x:c>
      <x:c r="B6" t="inlineStr">
        <x:is>
          <x:t xml:space="preserve">Force Field</x:t>
        </x:is>
      </x:c>
      <x:c r="C6" t="inlineStr">
        <x:is>
          <x:t xml:space="preserve">Incoming</x:t>
        </x:is>
      </x:c>
      <x:c r="D6" s="5" t="inlineStr">
        <x:is>
          <x:t xml:space="preserve">Enables cyber force field while Ki &gt;=10%; intercepts projectiles and melee through shield paths</x:t>
        </x:is>
      </x:c>
      <x:c r="E6" t="inlineStr">
        <x:is>
          <x:t xml:space="preserve">Active</x:t>
        </x:is>
      </x:c>
      <x:c r="F6" s="5" t="inlineStr">
        <x:is>
          <x:t xml:space="preserve">Technology/Cybernetics.dm:159-163; Projectiles.dm</x:t>
        </x:is>
      </x:c>
    </x:row>
    <x:row r="7">
      <x:c r="A7" t="inlineStr">
        <x:is>
          <x:t xml:space="preserve">Module</x:t>
        </x:is>
      </x:c>
      <x:c r="B7" t="inlineStr">
        <x:is>
          <x:t xml:space="preserve">Blast Absorb</x:t>
        </x:is>
      </x:c>
      <x:c r="C7" t="inlineStr">
        <x:is>
          <x:t xml:space="preserve">Incoming/Cost</x:t>
        </x:is>
      </x:c>
      <x:c r="D7" s="5" t="inlineStr">
        <x:is>
          <x:t xml:space="preserve">Absorbs qualifying front Ki blasts; natural shield cost x1.25</x:t>
        </x:is>
      </x:c>
      <x:c r="E7" t="inlineStr">
        <x:is>
          <x:t xml:space="preserve">Active</x:t>
        </x:is>
      </x:c>
      <x:c r="F7" s="5" t="inlineStr">
        <x:is>
          <x:t xml:space="preserve">Technology/Cybernetics.dm:170-181</x:t>
        </x:is>
      </x:c>
    </x:row>
    <x:row r="8">
      <x:c r="A8" t="inlineStr">
        <x:is>
          <x:t xml:space="preserve">Module</x:t>
        </x:is>
      </x:c>
      <x:c r="B8" t="inlineStr">
        <x:is>
          <x:t xml:space="preserve">Rebuild</x:t>
        </x:is>
      </x:c>
      <x:c r="C8" t="inlineStr">
        <x:is>
          <x:t xml:space="preserve">Outgoing</x:t>
        </x:is>
      </x:c>
      <x:c r="D8" s="5" t="inlineStr">
        <x:is>
          <x:t xml:space="preserve">Self Destruct damage x0.5</x:t>
        </x:is>
      </x:c>
      <x:c r="E8" t="inlineStr">
        <x:is>
          <x:t xml:space="preserve">Active</x:t>
        </x:is>
      </x:c>
      <x:c r="F8" s="5" t="inlineStr">
        <x:is>
          <x:t xml:space="preserve">Combat/Skills.dm:2402-2407</x:t>
        </x:is>
      </x:c>
    </x:row>
    <x:row r="9">
      <x:c r="A9" t="inlineStr">
        <x:is>
          <x:t xml:space="preserve">Module</x:t>
        </x:is>
      </x:c>
      <x:c r="B9" t="inlineStr">
        <x:is>
          <x:t xml:space="preserve">Generator</x:t>
        </x:is>
      </x:c>
      <x:c r="C9" t="inlineStr">
        <x:is>
          <x:t xml:space="preserve">Stats/Cost</x:t>
        </x:is>
      </x:c>
      <x:c r="D9" s="5" t="inlineStr">
        <x:is>
          <x:t xml:space="preserve">max Ki, Ki and Eff x2.5; regen/recovery x0.5; skill drains scale with sqrt(max Ki)</x:t>
        </x:is>
      </x:c>
      <x:c r="E9" t="inlineStr">
        <x:is>
          <x:t xml:space="preserve">Active</x:t>
        </x:is>
      </x:c>
      <x:c r="F9" s="5" t="inlineStr">
        <x:is>
          <x:t xml:space="preserve">Technology/Cybernetics.dm:198-207</x:t>
        </x:is>
      </x:c>
    </x:row>
    <x:row r="10">
      <x:c r="A10" t="inlineStr">
        <x:is>
          <x:t xml:space="preserve">Module</x:t>
        </x:is>
      </x:c>
      <x:c r="B10" t="inlineStr">
        <x:is>
          <x:t xml:space="preserve">Overdrive</x:t>
        </x:is>
      </x:c>
      <x:c r="C10" t="inlineStr">
        <x:is>
          <x:t xml:space="preserve">Cyber BP</x:t>
        </x:is>
      </x:c>
      <x:c r="D10" s="5" t="inlineStr">
        <x:is>
          <x:t xml:space="preserve">Cyber contribution x1.5 while active; Health -1.5 every 20 ticks</x:t>
        </x:is>
      </x:c>
      <x:c r="E10" t="inlineStr">
        <x:is>
          <x:t xml:space="preserve">Active</x:t>
        </x:is>
      </x:c>
      <x:c r="F10" s="5" t="inlineStr">
        <x:is>
          <x:t xml:space="preserve">Technology/Cybernetics.dm:1429-1452; StatLoop.dm:188</x:t>
        </x:is>
      </x:c>
    </x:row>
    <x:row r="11">
      <x:c r="A11" t="inlineStr">
        <x:is>
          <x:t xml:space="preserve">Module</x:t>
        </x:is>
      </x:c>
      <x:c r="B11" t="inlineStr">
        <x:is>
          <x:t xml:space="preserve">Brute</x:t>
        </x:is>
      </x:c>
      <x:c r="C11" t="inlineStr">
        <x:is>
          <x:t xml:space="preserve">Stats</x:t>
        </x:is>
      </x:c>
      <x:c r="D11" s="5" t="inlineStr">
        <x:is>
          <x:t xml:space="preserve">Str x1.3; regen/recovery x0.5</x:t>
        </x:is>
      </x:c>
      <x:c r="E11" t="inlineStr">
        <x:is>
          <x:t xml:space="preserve">Active</x:t>
        </x:is>
      </x:c>
      <x:c r="F11" s="5" t="inlineStr">
        <x:is>
          <x:t xml:space="preserve">Technology/Cybernetics.dm:228-232</x:t>
        </x:is>
      </x:c>
    </x:row>
    <x:row r="12">
      <x:c r="A12" t="inlineStr">
        <x:is>
          <x:t xml:space="preserve">Module</x:t>
        </x:is>
      </x:c>
      <x:c r="B12" t="inlineStr">
        <x:is>
          <x:t xml:space="preserve">Cybernetic Armor</x:t>
        </x:is>
      </x:c>
      <x:c r="C12" t="inlineStr">
        <x:is>
          <x:t xml:space="preserve">Stats</x:t>
        </x:is>
      </x:c>
      <x:c r="D12" s="5" t="inlineStr">
        <x:is>
          <x:t xml:space="preserve">End/Res x1.2; regen/recovery x0.5</x:t>
        </x:is>
      </x:c>
      <x:c r="E12" t="inlineStr">
        <x:is>
          <x:t xml:space="preserve">Active</x:t>
        </x:is>
      </x:c>
      <x:c r="F12" s="5" t="inlineStr">
        <x:is>
          <x:t xml:space="preserve">Technology/Cybernetics.dm:246-255</x:t>
        </x:is>
      </x:c>
    </x:row>
    <x:row r="13">
      <x:c r="A13" t="inlineStr">
        <x:is>
          <x:t xml:space="preserve">Module</x:t>
        </x:is>
      </x:c>
      <x:c r="B13" t="inlineStr">
        <x:is>
          <x:t xml:space="preserve">Cyber Charge</x:t>
        </x:is>
      </x:c>
      <x:c r="C13" t="inlineStr">
        <x:is>
          <x:t xml:space="preserve">Skill grant</x:t>
        </x:is>
      </x:c>
      <x:c r="D13" s="5" t="inlineStr">
        <x:is>
          <x:t xml:space="preserve">Grants 10% Ki projectile; OffMult 2; explosion 1; drain 10</x:t>
        </x:is>
      </x:c>
      <x:c r="E13" t="inlineStr">
        <x:is>
          <x:t xml:space="preserve">Active</x:t>
        </x:is>
      </x:c>
      <x:c r="F13" s="5" t="inlineStr">
        <x:is>
          <x:t xml:space="preserve">Cybernetics.dm:257-260; SkillEngine.dm:536-565</x:t>
        </x:is>
      </x:c>
    </x:row>
    <x:row r="14">
      <x:c r="A14" t="inlineStr">
        <x:is>
          <x:t xml:space="preserve">Module</x:t>
        </x:is>
      </x:c>
      <x:c r="B14" t="inlineStr">
        <x:is>
          <x:t xml:space="preserve">Laser Beam</x:t>
        </x:is>
      </x:c>
      <x:c r="C14" t="inlineStr">
        <x:is>
          <x:t xml:space="preserve">Skill grant</x:t>
        </x:is>
      </x:c>
      <x:c r="D14" s="5" t="inlineStr">
        <x:is>
          <x:t xml:space="preserve">Grants WaveMult 1.1 beam; MoveDelay 1; range 60</x:t>
        </x:is>
      </x:c>
      <x:c r="E14" t="inlineStr">
        <x:is>
          <x:t xml:space="preserve">Active</x:t>
        </x:is>
      </x:c>
      <x:c r="F14" s="5" t="inlineStr">
        <x:is>
          <x:t xml:space="preserve">Cybernetics.dm:262-266; Beams.dm</x:t>
        </x:is>
      </x:c>
    </x:row>
    <x:row r="15">
      <x:c r="A15" t="inlineStr">
        <x:is>
          <x:t xml:space="preserve">Module</x:t>
        </x:is>
      </x:c>
      <x:c r="B15" t="inlineStr">
        <x:is>
          <x:t xml:space="preserve">Time Normalizer</x:t>
        </x:is>
      </x:c>
      <x:c r="C15" t="inlineStr">
        <x:is>
          <x:t xml:space="preserve">Stats/Cost</x:t>
        </x:is>
      </x:c>
      <x:c r="D15" s="5" t="inlineStr">
        <x:is>
          <x:t xml:space="preserve">max Ki/Ki/Eff x0.9; Pow x0.95; regen x0.85</x:t>
        </x:is>
      </x:c>
      <x:c r="E15" t="inlineStr">
        <x:is>
          <x:t xml:space="preserve">Active</x:t>
        </x:is>
      </x:c>
      <x:c r="F15" s="5" t="inlineStr">
        <x:is>
          <x:t xml:space="preserve">Technology/Cybernetics.dm:268-277</x:t>
        </x:is>
      </x:c>
    </x:row>
    <x:row r="16">
      <x:c r="A16" t="inlineStr">
        <x:is>
          <x:t xml:space="preserve">Transformation</x:t>
        </x:is>
      </x:c>
      <x:c r="B16" t="inlineStr">
        <x:is>
          <x:t xml:space="preserve">Power Control</x:t>
        </x:is>
      </x:c>
      <x:c r="C16" t="inlineStr">
        <x:is>
          <x:t xml:space="preserve">BP</x:t>
        </x:is>
      </x:c>
      <x:c r="D16" s="5" t="inlineStr">
        <x:is>
          <x:t xml:space="preserve">Additive BP mix uses anger/100 + BPpcnt/100 - 1 + Super Kaioken addition</x:t>
        </x:is>
      </x:c>
      <x:c r="E16" t="inlineStr">
        <x:is>
          <x:t xml:space="preserve">Active</x:t>
        </x:is>
      </x:c>
      <x:c r="F16" s="5" t="inlineStr">
        <x:is>
          <x:t xml:space="preserve">BackgroundCode/StatLoop.dm:25-49</x:t>
        </x:is>
      </x:c>
    </x:row>
    <x:row r="17">
      <x:c r="A17" t="inlineStr">
        <x:is>
          <x:t xml:space="preserve">Transformation</x:t>
        </x:is>
      </x:c>
      <x:c r="B17" t="inlineStr">
        <x:is>
          <x:t xml:space="preserve">Giant Form</x:t>
        </x:is>
      </x:c>
      <x:c r="C17" t="inlineStr">
        <x:is>
          <x:t xml:space="preserve">BP/Stats</x:t>
        </x:is>
      </x:c>
      <x:c r="D17" s="5" t="inlineStr">
        <x:is>
          <x:t xml:space="preserve">bp_mult +0.2 (Makyo total +0.5); Str/End/Res x1.25; Off/Def/Spd x0.75</x:t>
        </x:is>
      </x:c>
      <x:c r="E17" t="inlineStr">
        <x:is>
          <x:t xml:space="preserve">Active; revert BP drift bug</x:t>
        </x:is>
      </x:c>
      <x:c r="F17" s="5" t="inlineStr">
        <x:is>
          <x:t xml:space="preserve">Combat/Skills.dm:1-100</x:t>
        </x:is>
      </x:c>
    </x:row>
    <x:row r="18">
      <x:c r="A18" t="inlineStr">
        <x:is>
          <x:t xml:space="preserve">Transformation</x:t>
        </x:is>
      </x:c>
      <x:c r="B18" t="inlineStr">
        <x:is>
          <x:t xml:space="preserve">Limit Breaker</x:t>
        </x:is>
      </x:c>
      <x:c r="C18" t="inlineStr">
        <x:is>
          <x:t xml:space="preserve">BP/Stats</x:t>
        </x:is>
      </x:c>
      <x:c r="D18" s="5" t="inlineStr">
        <x:is>
          <x:t xml:space="preserve">bp_mult +0.5; Off/regen/recovery x3; timed revert KOs user</x:t>
        </x:is>
      </x:c>
      <x:c r="E18" t="inlineStr">
        <x:is>
          <x:t xml:space="preserve">Active</x:t>
        </x:is>
      </x:c>
      <x:c r="F18" s="5" t="inlineStr">
        <x:is>
          <x:t xml:space="preserve">Combat/Skills.dm:102-168</x:t>
        </x:is>
      </x:c>
    </x:row>
    <x:row r="19">
      <x:c r="A19" t="inlineStr">
        <x:is>
          <x:t xml:space="preserve">Buff</x:t>
        </x:is>
      </x:c>
      <x:c r="B19" t="inlineStr">
        <x:is>
          <x:t xml:space="preserve">Third Eye</x:t>
        </x:is>
      </x:c>
      <x:c r="C19" t="inlineStr">
        <x:is>
          <x:t xml:space="preserve">BP</x:t>
        </x:is>
      </x:c>
      <x:c r="D19" s="5" t="inlineStr">
        <x:is>
          <x:t xml:space="preserve">bp_mult +0.2; available early to Humans; mature Human ascension is modeled separately</x:t>
        </x:is>
      </x:c>
      <x:c r="E19" t="inlineStr">
        <x:is>
          <x:t xml:space="preserve">Active</x:t>
        </x:is>
      </x:c>
      <x:c r="F19" s="5" t="inlineStr">
        <x:is>
          <x:t xml:space="preserve">PlayerMechanics/Ascension.dm:760-821</x:t>
        </x:is>
      </x:c>
    </x:row>
    <x:row r="20">
      <x:c r="A20" t="inlineStr">
        <x:is>
          <x:t xml:space="preserve">Transformation</x:t>
        </x:is>
      </x:c>
      <x:c r="B20" t="inlineStr">
        <x:is>
          <x:t xml:space="preserve">Kaioken</x:t>
        </x:is>
      </x:c>
      <x:c r="C20" t="inlineStr">
        <x:is>
          <x:t xml:space="preserve">BP</x:t>
        </x:is>
      </x:c>
      <x:c r="D20" s="5" t="inlineStr">
        <x:is>
          <x:t xml:space="preserve">Normal form adds capped base-BP-derived amount; Super Kaioken adds 0.7 to powerup/anger mix</x:t>
        </x:is>
      </x:c>
      <x:c r="E20" t="inlineStr">
        <x:is>
          <x:t xml:space="preserve">Active</x:t>
        </x:is>
      </x:c>
      <x:c r="F20" s="5" t="inlineStr">
        <x:is>
          <x:t xml:space="preserve">Transformations/Kaioken.dm</x:t>
        </x:is>
      </x:c>
    </x:row>
    <x:row r="21">
      <x:c r="A21" t="inlineStr">
        <x:is>
          <x:t xml:space="preserve">Transformation</x:t>
        </x:is>
      </x:c>
      <x:c r="B21" t="inlineStr">
        <x:is>
          <x:t xml:space="preserve">Ultra Super Saiyan</x:t>
        </x:is>
      </x:c>
      <x:c r="C21" t="inlineStr">
        <x:is>
          <x:t xml:space="preserve">BP/Stats</x:t>
        </x:is>
      </x:c>
      <x:c r="D21" s="5" t="inlineStr">
        <x:is>
          <x:t xml:space="preserve">bp_mult +0.4; Str/End x1.3; Res x1.2; Eff x0.67</x:t>
        </x:is>
      </x:c>
      <x:c r="E21" t="inlineStr">
        <x:is>
          <x:t xml:space="preserve">Compiled; no normal grant found</x:t>
        </x:is>
      </x:c>
      <x:c r="F21" s="5" t="inlineStr">
        <x:is>
          <x:t xml:space="preserve">PlayerMechanics/Ascension.dm:45-131</x:t>
        </x:is>
      </x:c>
    </x:row>
    <x:row r="22">
      <x:c r="A22" t="inlineStr">
        <x:is>
          <x:t xml:space="preserve">Transformation</x:t>
        </x:is>
      </x:c>
      <x:c r="B22" t="inlineStr">
        <x:is>
          <x:t xml:space="preserve">SSJ 1/2/3/4</x:t>
        </x:is>
      </x:c>
      <x:c r="C22" t="inlineStr">
        <x:is>
          <x:t xml:space="preserve">BP</x:t>
        </x:is>
      </x:c>
      <x:c r="D22" s="5" t="inlineStr">
        <x:is>
          <x:t xml:space="preserve">SSJ multipliers 1.35 / 1.8225 / 2.73375 / 2.916 plus static BP additions</x:t>
        </x:is>
      </x:c>
      <x:c r="E22" t="inlineStr">
        <x:is>
          <x:t xml:space="preserve">Active</x:t>
        </x:is>
      </x:c>
      <x:c r="F22" s="5" t="inlineStr">
        <x:is>
          <x:t xml:space="preserve">PlayerMechanics/Ascension.dm</x:t>
        </x:is>
      </x:c>
    </x:row>
    <x:row r="23">
      <x:c r="A23" t="inlineStr">
        <x:is>
          <x:t xml:space="preserve">Transformation</x:t>
        </x:is>
      </x:c>
      <x:c r="B23" t="inlineStr">
        <x:is>
          <x:t xml:space="preserve">Mystic</x:t>
        </x:is>
      </x:c>
      <x:c r="C23" t="inlineStr">
        <x:is>
          <x:t xml:space="preserve">BP/Stats/Cost</x:t>
        </x:is>
      </x:c>
      <x:c r="D23" s="5" t="inlineStr">
        <x:is>
          <x:t xml:space="preserve">Spd x1.1; SSJ BP x1.15; energy drain accumulator -0.3; anger boost x0.85</x:t>
        </x:is>
      </x:c>
      <x:c r="E23" t="inlineStr">
        <x:is>
          <x:t xml:space="preserve">Active</x:t>
        </x:is>
      </x:c>
      <x:c r="F23" s="5" t="inlineStr">
        <x:is>
          <x:t xml:space="preserve">Combat/Skills.dm:2953-3019</x:t>
        </x:is>
      </x:c>
    </x:row>
    <x:row r="24">
      <x:c r="A24" t="inlineStr">
        <x:is>
          <x:t xml:space="preserve">Buff</x:t>
        </x:is>
      </x:c>
      <x:c r="B24" t="inlineStr">
        <x:is>
          <x:t xml:space="preserve">Fire Fist</x:t>
        </x:is>
      </x:c>
      <x:c r="C24" t="inlineStr">
        <x:is>
          <x:t xml:space="preserve">Outgoing</x:t>
        </x:is>
      </x:c>
      <x:c r="D24" s="5" t="inlineStr">
        <x:is>
          <x:t xml:space="preserve">All melee damage x1.2; 40% burn application chance</x:t>
        </x:is>
      </x:c>
      <x:c r="E24" t="inlineStr">
        <x:is>
          <x:t xml:space="preserve">Active</x:t>
        </x:is>
      </x:c>
      <x:c r="F24" s="5" t="inlineStr">
        <x:is>
          <x:t xml:space="preserve">Combat/Skills.dm:3020-3085; Melee.dm</x:t>
        </x:is>
      </x:c>
    </x:row>
    <x:row r="25">
      <x:c r="A25" t="inlineStr">
        <x:is>
          <x:t xml:space="preserve">Buff</x:t>
        </x:is>
      </x:c>
      <x:c r="B25" t="inlineStr">
        <x:is>
          <x:t xml:space="preserve">Majin</x:t>
        </x:is>
      </x:c>
      <x:c r="C25" t="inlineStr">
        <x:is>
          <x:t xml:space="preserve">BP/Cost</x:t>
        </x:is>
      </x:c>
      <x:c r="D25" s="5" t="inlineStr">
        <x:is>
          <x:t xml:space="preserve">bp_mult +0.2; max anger x1.2; attack drain accumulator +0.5</x:t>
        </x:is>
      </x:c>
      <x:c r="E25" t="inlineStr">
        <x:is>
          <x:t xml:space="preserve">Active</x:t>
        </x:is>
      </x:c>
      <x:c r="F25" s="5" t="inlineStr">
        <x:is>
          <x:t xml:space="preserve">Combat/Skills.dm:3152-3213</x:t>
        </x:is>
      </x:c>
    </x:row>
    <x:row r="26">
      <x:c r="A26" t="inlineStr">
        <x:is>
          <x:t xml:space="preserve">Transformation</x:t>
        </x:is>
      </x:c>
      <x:c r="B26" t="inlineStr">
        <x:is>
          <x:t xml:space="preserve">Great Ape</x:t>
        </x:is>
      </x:c>
      <x:c r="C26" t="inlineStr">
        <x:is>
          <x:t xml:space="preserve">BP/Stats</x:t>
        </x:is>
      </x:c>
      <x:c r="D26" s="5" t="inlineStr">
        <x:is>
          <x:t xml:space="preserve">bp_mult +2.5 plus additive BP; Str/End/Res x1.3; Def/Spd x0.1</x:t>
        </x:is>
      </x:c>
      <x:c r="E26" t="inlineStr">
        <x:is>
          <x:t xml:space="preserve">Active</x:t>
        </x:is>
      </x:c>
      <x:c r="F26" s="5" t="inlineStr">
        <x:is>
          <x:t xml:space="preserve">Races/Oozaru.dm</x:t>
        </x:is>
      </x:c>
    </x:row>
    <x:row r="27">
      <x:c r="A27" t="inlineStr">
        <x:is>
          <x:t xml:space="preserve">Transformation</x:t>
        </x:is>
      </x:c>
      <x:c r="B27" t="inlineStr">
        <x:is>
          <x:t xml:space="preserve">God Ki</x:t>
        </x:is>
      </x:c>
      <x:c r="C27" t="inlineStr">
        <x:is>
          <x:t xml:space="preserve">BP</x:t>
        </x:is>
      </x:c>
      <x:c r="D27" s="5" t="inlineStr">
        <x:is>
          <x:t xml:space="preserve">Adds mastery-scaled God BP and final total BP x1.3</x:t>
        </x:is>
      </x:c>
      <x:c r="E27" t="inlineStr">
        <x:is>
          <x:t xml:space="preserve">Active</x:t>
        </x:is>
      </x:c>
      <x:c r="F27" s="5" t="inlineStr">
        <x:is>
          <x:t xml:space="preserve">PlayerMechanics/GodKi.dm; StatLoop.dm</x:t>
        </x:is>
      </x:c>
    </x:row>
    <x:row r="28">
      <x:c r="A28" t="inlineStr">
        <x:is>
          <x:t xml:space="preserve">Transformation</x:t>
        </x:is>
      </x:c>
      <x:c r="B28" t="inlineStr">
        <x:is>
          <x:t xml:space="preserve">SSG / SSB / Gold</x:t>
        </x:is>
      </x:c>
      <x:c r="C28" t="inlineStr">
        <x:is>
          <x:t xml:space="preserve">BP/Stats</x:t>
        </x:is>
      </x:c>
      <x:c r="D28" s="5" t="inlineStr">
        <x:is>
          <x:t xml:space="preserve">Pre-cyber BP x1.25 / x1.35 / x1.3; enables God Ki branches</x:t>
        </x:is>
      </x:c>
      <x:c r="E28" t="inlineStr">
        <x:is>
          <x:t xml:space="preserve">Active</x:t>
        </x:is>
      </x:c>
      <x:c r="F28" s="5" t="inlineStr">
        <x:is>
          <x:t xml:space="preserve">Races/Saiyan/SsGodRed.dm; SSBlue.dm; Icer/GoldIcer.dm</x:t>
        </x:is>
      </x:c>
    </x:row>
    <x:row r="29">
      <x:c r="A29" t="inlineStr">
        <x:is>
          <x:t xml:space="preserve">Transformation</x:t>
        </x:is>
      </x:c>
      <x:c r="B29" t="inlineStr">
        <x:is>
          <x:t xml:space="preserve">Bio forms</x:t>
        </x:is>
      </x:c>
      <x:c r="C29" t="inlineStr">
        <x:is>
          <x:t xml:space="preserve">Late BP</x:t>
        </x:is>
      </x:c>
      <x:c r="D29" s="5" t="inlineStr">
        <x:is>
          <x:t xml:space="preserve">Late BP multiplier x0.5 / x1 / x1.3 / x1.6</x:t>
        </x:is>
      </x:c>
      <x:c r="E29" t="inlineStr">
        <x:is>
          <x:t xml:space="preserve">Active</x:t>
        </x:is>
      </x:c>
      <x:c r="F29" s="5" t="inlineStr">
        <x:is>
          <x:t xml:space="preserve">Races/BioAndroid/Bios.dm</x:t>
        </x:is>
      </x:c>
    </x:row>
    <x:row r="30">
      <x:c r="A30" t="inlineStr">
        <x:is>
          <x:t xml:space="preserve">Transformation</x:t>
        </x:is>
      </x:c>
      <x:c r="B30" t="inlineStr">
        <x:is>
          <x:t xml:space="preserve">Ultra Instinct</x:t>
        </x:is>
      </x:c>
      <x:c r="C30" t="inlineStr">
        <x:is>
          <x:t xml:space="preserve">BP/Stats/Cost</x:t>
        </x:is>
      </x:c>
      <x:c r="D30" s="5" t="inlineStr">
        <x:is>
          <x:t xml:space="preserve">bp_mult +0.7; Spd/Off/Def x3; dodge stamina /4; melee costs +8 stamina</x:t>
        </x:is>
      </x:c>
      <x:c r="E30" t="inlineStr">
        <x:is>
          <x:t xml:space="preserve">Active</x:t>
        </x:is>
      </x:c>
      <x:c r="F30" s="5" t="inlineStr">
        <x:is>
          <x:t xml:space="preserve">Races/UltraInstinct.dm</x:t>
        </x:is>
      </x:c>
    </x:row>
    <x:row r="31">
      <x:c r="A31" t="inlineStr">
        <x:is>
          <x:t xml:space="preserve">Status</x:t>
        </x:is>
      </x:c>
      <x:c r="B31" t="inlineStr">
        <x:is>
          <x:t xml:space="preserve">Android</x:t>
        </x:is>
      </x:c>
      <x:c r="C31" t="inlineStr">
        <x:is>
          <x:t xml:space="preserve">BP/Incoming</x:t>
        </x:is>
      </x:c>
      <x:c r="D31" s="5" t="inlineStr">
        <x:is>
          <x:t xml:space="preserve">Natural BP x1.35 before cyber replacement; incoming TakeDamage x0.55; cannot anger</x:t>
        </x:is>
      </x:c>
      <x:c r="E31" t="inlineStr">
        <x:is>
          <x:t xml:space="preserve">Active</x:t>
        </x:is>
      </x:c>
      <x:c r="F31" s="5" t="inlineStr">
        <x:is>
          <x:t xml:space="preserve">StatLoop.dm; Races/Android/Android.dm</x:t>
        </x:is>
      </x:c>
    </x:row>
    <x:row r="32">
      <x:c r="A32" t="inlineStr">
        <x:is>
          <x:t xml:space="preserve">Status</x:t>
        </x:is>
      </x:c>
      <x:c r="B32" t="inlineStr">
        <x:is>
          <x:t xml:space="preserve">Legendary always angry</x:t>
        </x:is>
      </x:c>
      <x:c r="C32" t="inlineStr">
        <x:is>
          <x:t xml:space="preserve">BP/Incoming</x:t>
        </x:is>
      </x:c>
      <x:c r="D32" s="5" t="inlineStr">
        <x:is>
          <x:t xml:space="preserve">Racial combat BP x1.65; incoming TakeDamage x0.9</x:t>
        </x:is>
      </x:c>
      <x:c r="E32" t="inlineStr">
        <x:is>
          <x:t xml:space="preserve">Active</x:t>
        </x:is>
      </x:c>
      <x:c r="F32" s="5" t="inlineStr">
        <x:is>
          <x:t xml:space="preserve">StatLoop.dm; Combat/Melee.dm</x:t>
        </x:is>
      </x:c>
    </x:row>
    <x:row r="33">
      <x:c r="A33" t="inlineStr">
        <x:is>
          <x:t xml:space="preserve">Status</x:t>
        </x:is>
      </x:c>
      <x:c r="B33" t="inlineStr">
        <x:is>
          <x:t xml:space="preserve">Jiren Alien</x:t>
        </x:is>
      </x:c>
      <x:c r="C33" t="inlineStr">
        <x:is>
          <x:t xml:space="preserve">BP/Incoming</x:t>
        </x:is>
      </x:c>
      <x:c r="D33" s="5" t="inlineStr">
        <x:is>
          <x:t xml:space="preserve">Normalized Standard package: BP x0.95; incoming x1; cannot anger; powerup soft cap x0.75</x:t>
        </x:is>
      </x:c>
      <x:c r="E33" t="inlineStr">
        <x:is>
          <x:t xml:space="preserve">Active</x:t>
        </x:is>
      </x:c>
      <x:c r="F33" s="5" t="inlineStr">
        <x:is>
          <x:t xml:space="preserve">Races/AlienStarterMoves.dm; StatLoop.dm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customWidth="1"/>
    <x:col min="2" max="2" width="40" customWidth="1"/>
    <x:col min="3" max="3" width="26" customWidth="1"/>
    <x:col min="4" max="4" width="18" customWidth="1"/>
    <x:col min="5" max="5" width="14" customWidth="1"/>
    <x:col min="6" max="6" width="10" customWidth="1"/>
    <x:col min="7" max="7" width="13" customWidth="1"/>
    <x:col min="8" max="8" width="20" customWidth="1"/>
    <x:col min="9" max="9" width="13" customWidth="1"/>
    <x:col min="10" max="10" width="13" customWidth="1"/>
    <x:col min="11" max="11" width="34" customWidth="1"/>
    <x:col min="12" max="12" width="13" customWidth="1"/>
    <x:col min="13" max="13" width="30" customWidth="1"/>
    <x:col min="14" max="14" width="46" customWidth="1"/>
    <x:col min="15" max="15" width="76" customWidth="1"/>
  </x:cols>
  <x:sheetData>
    <x:row r="1">
      <x:c r="A1" s="2" t="inlineStr">
        <x:is>
          <x:t xml:space="preserve">Current Damage Skill Catalog</x:t>
        </x:is>
      </x:c>
      <x:c r="B1" s="2" t="inlineStr">
        <x:is>
          <x:t xml:space="preserve">Numeric factor means melee multiplier, projectile percent, or beam WaveMult according to Model.</x:t>
        </x:is>
      </x:c>
    </x:row>
    <x:row r="2">
      <x:c r="A2" s="1" t="inlineStr">
        <x:is>
          <x:t xml:space="preserve">Skill</x:t>
        </x:is>
      </x:c>
      <x:c r="B2" s="1" t="inlineStr">
        <x:is>
          <x:t xml:space="preserve">Type path</x:t>
        </x:is>
      </x:c>
      <x:c r="C2" s="1" t="inlineStr">
        <x:is>
          <x:t xml:space="preserve">Status</x:t>
        </x:is>
      </x:c>
      <x:c r="D2" s="1" t="inlineStr">
        <x:is>
          <x:t xml:space="preserve">Model</x:t>
        </x:is>
      </x:c>
      <x:c r="E2" s="1" t="inlineStr">
        <x:is>
          <x:t xml:space="preserve">Factor</x:t>
        </x:is>
      </x:c>
      <x:c r="F2" s="1" t="inlineStr">
        <x:is>
          <x:t xml:space="preserve">Hits</x:t>
        </x:is>
      </x:c>
      <x:c r="G2" s="1" t="inlineStr">
        <x:is>
          <x:t xml:space="preserve">MoveDelay</x:t>
        </x:is>
      </x:c>
      <x:c r="H2" s="1" t="inlineStr">
        <x:is>
          <x:t xml:space="preserve">Explosion</x:t>
        </x:is>
      </x:c>
      <x:c r="I2" s="1" t="inlineStr">
        <x:is>
          <x:t xml:space="preserve">Drain</x:t>
        </x:is>
      </x:c>
      <x:c r="J2" s="1" t="inlineStr">
        <x:is>
          <x:t xml:space="preserve">Cooldown s</x:t>
        </x:is>
      </x:c>
      <x:c r="K2" s="1" t="inlineStr">
        <x:is>
          <x:t xml:space="preserve">Charge / timing</x:t>
        </x:is>
      </x:c>
      <x:c r="L2" s="1" t="inlineStr">
        <x:is>
          <x:t xml:space="preserve">Range</x:t>
        </x:is>
      </x:c>
      <x:c r="M2" s="1" t="inlineStr">
        <x:is>
          <x:t xml:space="preserve">Race override</x:t>
        </x:is>
      </x:c>
      <x:c r="N2" s="1" t="inlineStr">
        <x:is>
          <x:t xml:space="preserve">Known issue / note</x:t>
        </x:is>
      </x:c>
      <x:c r="O2" s="1" t="inlineStr">
        <x:is>
          <x:t xml:space="preserve">Source</x:t>
        </x:is>
      </x:c>
    </x:row>
    <x:row r="3">
      <x:c r="A3" t="inlineStr">
        <x:is>
          <x:t xml:space="preserve">Manual Attack</x:t>
        </x:is>
      </x:c>
      <x:c r="B3" s="5" t="inlineStr">
        <x:is>
          <x:t xml:space="preserve">/obj/Manual_Attack</x:t>
        </x:is>
      </x:c>
      <x:c r="C3" t="inlineStr">
        <x:is>
          <x:t xml:space="preserve">Global action</x:t>
        </x:is>
      </x:c>
      <x:c r="D3" t="inlineStr">
        <x:is>
          <x:t xml:space="preserve">Physical</x:t>
        </x:is>
      </x:c>
      <x:c r="E3">
        <x:v>2.5</x:v>
      </x:c>
      <x:c r="F3">
        <x:v>1</x:v>
      </x:c>
      <x:c r="G3">
        <x:v>0</x:v>
      </x:c>
      <x:c r="H3">
        <x:v>0</x:v>
      </x:c>
      <x:c r="I3" t="inlineStr">
        <x:is>
          <x:t xml:space="preserve">GMD(24)</x:t>
        </x:is>
      </x:c>
      <x:c r="J3">
        <x:v>0</x:v>
      </x:c>
      <x:c r="K3" s="5" t="inlineStr">
        <x:is>
          <x:t xml:space="preserve">Melee delay</x:t>
        </x:is>
      </x:c>
      <x:c r="L3">
        <x:v>1</x:v>
      </x:c>
      <x:c r="M3" s="5" t="inlineStr">
        <x:is>
          <x:t xml:space="preserve">None</x:t>
        </x:is>
      </x:c>
      <x:c r="N3" s="5" t="inlineStr">
        <x:is>
          <x:t xml:space="preserve">Rear and critical multipliers are capped at 1.25</x:t>
        </x:is>
      </x:c>
      <x:c r="O3" s="5" t="inlineStr">
        <x:is>
          <x:t xml:space="preserve">Combat/Melee.dm</x:t>
        </x:is>
      </x:c>
    </x:row>
    <x:row r="4">
      <x:c r="A4" t="inlineStr">
        <x:is>
          <x:t xml:space="preserve">Lunge</x:t>
        </x:is>
      </x:c>
      <x:c r="B4" s="5" t="inlineStr">
        <x:is>
          <x:t xml:space="preserve">/obj/Lunge</x:t>
        </x:is>
      </x:c>
      <x:c r="C4" t="inlineStr">
        <x:is>
          <x:t xml:space="preserve">Standalone verb/hotbar</x:t>
        </x:is>
      </x:c>
      <x:c r="D4" t="inlineStr">
        <x:is>
          <x:t xml:space="preserve">Physical</x:t>
        </x:is>
      </x:c>
      <x:c r="E4">
        <x:v>5</x:v>
      </x:c>
      <x:c r="F4">
        <x:v>1</x:v>
      </x:c>
      <x:c r="G4">
        <x:v>0</x:v>
      </x:c>
      <x:c r="H4">
        <x:v>0</x:v>
      </x:c>
      <x:c r="I4" t="inlineStr">
        <x:is>
          <x:t xml:space="preserve">3x GMD(24)</x:t>
        </x:is>
      </x:c>
      <x:c r="J4" t="inlineStr">
        <x:is>
          <x:t xml:space="preserve">Lunge refire</x:t>
        </x:is>
      </x:c>
      <x:c r="K4" s="5" t="inlineStr">
        <x:is>
          <x:t xml:space="preserve">Windup + travel</x:t>
        </x:is>
      </x:c>
      <x:c r="L4">
        <x:v>19</x:v>
      </x:c>
      <x:c r="M4" s="5" t="inlineStr">
        <x:is>
          <x:t xml:space="preserve">None</x:t>
        </x:is>
      </x:c>
      <x:c r="N4" s="5" t="inlineStr">
        <x:is>
          <x:t xml:space="preserve">Explicit factor; no hidden base multiplier</x:t>
        </x:is>
      </x:c>
      <x:c r="O4" s="5" t="inlineStr">
        <x:is>
          <x:t xml:space="preserve">Combat/Melee.dm</x:t>
        </x:is>
      </x:c>
    </x:row>
    <x:row r="5">
      <x:c r="A5" t="inlineStr">
        <x:is>
          <x:t xml:space="preserve">Wolf Fang Fist</x:t>
        </x:is>
      </x:c>
      <x:c r="B5" s="5" t="inlineStr">
        <x:is>
          <x:t xml:space="preserve">/obj/WolfFangFist</x:t>
        </x:is>
      </x:c>
      <x:c r="C5" t="inlineStr">
        <x:is>
          <x:t xml:space="preserve">Learnable</x:t>
        </x:is>
      </x:c>
      <x:c r="D5" t="inlineStr">
        <x:is>
          <x:t xml:space="preserve">Physical</x:t>
        </x:is>
      </x:c>
      <x:c r="E5">
        <x:v>1</x:v>
      </x:c>
      <x:c r="F5">
        <x:v>5</x:v>
      </x:c>
      <x:c r="G5">
        <x:v>0</x:v>
      </x:c>
      <x:c r="H5">
        <x:v>0</x:v>
      </x:c>
      <x:c r="I5" t="inlineStr">
        <x:is>
          <x:t xml:space="preserve">20 stamina on total miss</x:t>
        </x:is>
      </x:c>
      <x:c r="J5">
        <x:v>20</x:v>
      </x:c>
      <x:c r="K5" s="5" t="inlineStr">
        <x:is>
          <x:t xml:space="preserve">Windup + advancing combo</x:t>
        </x:is>
      </x:c>
      <x:c r="L5">
        <x:v>19</x:v>
      </x:c>
      <x:c r="M5" s="5" t="inlineStr">
        <x:is>
          <x:t xml:space="preserve">None</x:t>
        </x:is>
      </x:c>
      <x:c r="N5" s="5" t="inlineStr">
        <x:is>
          <x:t xml:space="preserve">Five-hit budget 5</x:t>
        </x:is>
      </x:c>
      <x:c r="O5" s="5" t="inlineStr">
        <x:is>
          <x:t xml:space="preserve">SkillEngine.dm; Melee/WolfFangFist.dm</x:t>
        </x:is>
      </x:c>
    </x:row>
    <x:row r="6">
      <x:c r="A6" t="inlineStr">
        <x:is>
          <x:t xml:space="preserve">Hundred Crack Fist</x:t>
        </x:is>
      </x:c>
      <x:c r="B6" s="5" t="inlineStr">
        <x:is>
          <x:t xml:space="preserve">/obj/Hokuto_Shinken</x:t>
        </x:is>
      </x:c>
      <x:c r="C6" t="inlineStr">
        <x:is>
          <x:t xml:space="preserve">Learnable</x:t>
        </x:is>
      </x:c>
      <x:c r="D6" t="inlineStr">
        <x:is>
          <x:t xml:space="preserve">Physical</x:t>
        </x:is>
      </x:c>
      <x:c r="E6">
        <x:v>0.25</x:v>
      </x:c>
      <x:c r="F6">
        <x:v>24</x:v>
      </x:c>
      <x:c r="G6">
        <x:v>0</x:v>
      </x:c>
      <x:c r="H6">
        <x:v>0</x:v>
      </x:c>
      <x:c r="I6" t="inlineStr">
        <x:is>
          <x:t xml:space="preserve">Ki becomes 20% after cast</x:t>
        </x:is>
      </x:c>
      <x:c r="J6">
        <x:v>0</x:v>
      </x:c>
      <x:c r="K6" s="5" t="inlineStr">
        <x:is>
          <x:t xml:space="preserve">6.2s windup; 0.3s/strike</x:t>
        </x:is>
      </x:c>
      <x:c r="L6">
        <x:v>15</x:v>
      </x:c>
      <x:c r="M6" s="5" t="inlineStr">
        <x:is>
          <x:t xml:space="preserve">None</x:t>
        </x:is>
      </x:c>
      <x:c r="N6" s="5" t="inlineStr">
        <x:is>
          <x:t xml:space="preserve">Exactly 24 attempts; budget 6</x:t>
        </x:is>
      </x:c>
      <x:c r="O6" s="5" t="inlineStr">
        <x:is>
          <x:t xml:space="preserve">Combat/HokutoShinken.dm</x:t>
        </x:is>
      </x:c>
    </x:row>
    <x:row r="7">
      <x:c r="A7" t="inlineStr">
        <x:is>
          <x:t xml:space="preserve">Dash Attack</x:t>
        </x:is>
      </x:c>
      <x:c r="B7" s="5" t="inlineStr">
        <x:is>
          <x:t xml:space="preserve">/obj/Dash_Attack</x:t>
        </x:is>
      </x:c>
      <x:c r="C7" t="inlineStr">
        <x:is>
          <x:t xml:space="preserve">Learnable</x:t>
        </x:is>
      </x:c>
      <x:c r="D7" t="inlineStr">
        <x:is>
          <x:t xml:space="preserve">Physical</x:t>
        </x:is>
      </x:c>
      <x:c r="E7" t="inlineStr">
        <x:is>
          <x:t xml:space="preserve">2-8</x:t>
        </x:is>
      </x:c>
      <x:c r="F7">
        <x:v>1</x:v>
      </x:c>
      <x:c r="G7">
        <x:v>0</x:v>
      </x:c>
      <x:c r="H7">
        <x:v>0</x:v>
      </x:c>
      <x:c r="I7" t="inlineStr">
        <x:is>
          <x:t xml:space="preserve">145*sqrt(maxKi/3000)</x:t>
        </x:is>
      </x:c>
      <x:c r="J7">
        <x:v>10</x:v>
      </x:c>
      <x:c r="K7" s="5" t="inlineStr">
        <x:is>
          <x:t xml:space="preserve">Up to 25 steps</x:t>
        </x:is>
      </x:c>
      <x:c r="L7">
        <x:v>25</x:v>
      </x:c>
      <x:c r="M7" s="5" t="inlineStr">
        <x:is>
          <x:t xml:space="preserve">None</x:t>
        </x:is>
      </x:c>
      <x:c r="N7" s="5" t="inlineStr">
        <x:is>
          <x:t xml:space="preserve">Factor scales 0.25 per completed step; no second BP ratio</x:t>
        </x:is>
      </x:c>
      <x:c r="O7" s="5" t="inlineStr">
        <x:is>
          <x:t xml:space="preserve">Application/Combat/SkillEngine.dm</x:t>
        </x:is>
      </x:c>
    </x:row>
    <x:row r="8">
      <x:c r="A8" t="inlineStr">
        <x:is>
          <x:t xml:space="preserve">Dropkick</x:t>
        </x:is>
      </x:c>
      <x:c r="B8" s="5" t="inlineStr">
        <x:is>
          <x:t xml:space="preserve">/obj/Dropkick</x:t>
        </x:is>
      </x:c>
      <x:c r="C8" t="inlineStr">
        <x:is>
          <x:t xml:space="preserve">Learnable</x:t>
        </x:is>
      </x:c>
      <x:c r="D8" t="inlineStr">
        <x:is>
          <x:t xml:space="preserve">Physical</x:t>
        </x:is>
      </x:c>
      <x:c r="E8">
        <x:v>8</x:v>
      </x:c>
      <x:c r="F8">
        <x:v>2</x:v>
      </x:c>
      <x:c r="G8">
        <x:v>0</x:v>
      </x:c>
      <x:c r="H8">
        <x:v>0</x:v>
      </x:c>
      <x:c r="I8" t="inlineStr">
        <x:is>
          <x:t xml:space="preserve">25 stamina</x:t>
        </x:is>
      </x:c>
      <x:c r="J8">
        <x:v>30</x:v>
      </x:c>
      <x:c r="K8" s="5" t="inlineStr">
        <x:is>
          <x:t xml:space="preserve">Windup + travel</x:t>
        </x:is>
      </x:c>
      <x:c r="L8">
        <x:v>19</x:v>
      </x:c>
      <x:c r="M8" s="5" t="inlineStr">
        <x:is>
          <x:t xml:space="preserve">None</x:t>
        </x:is>
      </x:c>
      <x:c r="N8" s="5" t="inlineStr">
        <x:is>
          <x:t xml:space="preserve">Two hits: 5 and 3</x:t>
        </x:is>
      </x:c>
      <x:c r="O8" s="5" t="inlineStr">
        <x:is>
          <x:t xml:space="preserve">Application/Combat/SkillEngine.dm</x:t>
        </x:is>
      </x:c>
    </x:row>
    <x:row r="9">
      <x:c r="A9" t="inlineStr">
        <x:is>
          <x:t xml:space="preserve">Pressure Punch</x:t>
        </x:is>
      </x:c>
      <x:c r="B9" s="5" t="inlineStr">
        <x:is>
          <x:t xml:space="preserve">/obj/PressurePunch</x:t>
        </x:is>
      </x:c>
      <x:c r="C9" t="inlineStr">
        <x:is>
          <x:t xml:space="preserve">Learnable</x:t>
        </x:is>
      </x:c>
      <x:c r="D9" t="inlineStr">
        <x:is>
          <x:t xml:space="preserve">Physical</x:t>
        </x:is>
      </x:c>
      <x:c r="E9">
        <x:v>6</x:v>
      </x:c>
      <x:c r="F9">
        <x:v>1</x:v>
      </x:c>
      <x:c r="G9">
        <x:v>0</x:v>
      </x:c>
      <x:c r="H9">
        <x:v>0</x:v>
      </x:c>
      <x:c r="I9">
        <x:v>0</x:v>
      </x:c>
      <x:c r="J9">
        <x:v>12</x:v>
      </x:c>
      <x:c r="K9" s="5" t="inlineStr">
        <x:is>
          <x:t xml:space="preserve">2s</x:t>
        </x:is>
      </x:c>
      <x:c r="L9">
        <x:v>3</x:v>
      </x:c>
      <x:c r="M9" s="5" t="inlineStr">
        <x:is>
          <x:t xml:space="preserve">None</x:t>
        </x:is>
      </x:c>
      <x:c r="N9" s="5" t="inlineStr">
        <x:is>
          <x:t xml:space="preserve">No flat damage; calculated against the victim</x:t>
        </x:is>
      </x:c>
      <x:c r="O9" s="5" t="inlineStr">
        <x:is>
          <x:t xml:space="preserve">Combat/Melee/PressurePunch.dm</x:t>
        </x:is>
      </x:c>
    </x:row>
    <x:row r="10">
      <x:c r="A10" t="inlineStr">
        <x:is>
          <x:t xml:space="preserve">Roundhouse Kick</x:t>
        </x:is>
      </x:c>
      <x:c r="B10" s="5" t="inlineStr">
        <x:is>
          <x:t xml:space="preserve">/obj/RoundhouseKick</x:t>
        </x:is>
      </x:c>
      <x:c r="C10" t="inlineStr">
        <x:is>
          <x:t xml:space="preserve">Learnable</x:t>
        </x:is>
      </x:c>
      <x:c r="D10" t="inlineStr">
        <x:is>
          <x:t xml:space="preserve">Physical</x:t>
        </x:is>
      </x:c>
      <x:c r="E10">
        <x:v>4</x:v>
      </x:c>
      <x:c r="F10">
        <x:v>1</x:v>
      </x:c>
      <x:c r="G10">
        <x:v>0</x:v>
      </x:c>
      <x:c r="H10">
        <x:v>0</x:v>
      </x:c>
      <x:c r="I10">
        <x:v>0</x:v>
      </x:c>
      <x:c r="J10">
        <x:v>12</x:v>
      </x:c>
      <x:c r="K10" s="5" t="inlineStr">
        <x:is>
          <x:t xml:space="preserve">1s</x:t>
        </x:is>
      </x:c>
      <x:c r="L10">
        <x:v>3</x:v>
      </x:c>
      <x:c r="M10" s="5" t="inlineStr">
        <x:is>
          <x:t xml:space="preserve">None</x:t>
        </x:is>
      </x:c>
      <x:c r="N10" s="5" t="inlineStr">
        <x:is>
          <x:t xml:space="preserve">No flat damage; calculated against the victim</x:t>
        </x:is>
      </x:c>
      <x:c r="O10" s="5" t="inlineStr">
        <x:is>
          <x:t xml:space="preserve">Combat/Melee/RoundhouseKick.dm</x:t>
        </x:is>
      </x:c>
    </x:row>
    <x:row r="11">
      <x:c r="A11" t="inlineStr">
        <x:is>
          <x:t xml:space="preserve">Rock Throw - Powerful</x:t>
        </x:is>
      </x:c>
      <x:c r="B11" s="5" t="inlineStr">
        <x:is>
          <x:t xml:space="preserve">/obj/RockThrow</x:t>
        </x:is>
      </x:c>
      <x:c r="C11" t="inlineStr">
        <x:is>
          <x:t xml:space="preserve">Learnable</x:t>
        </x:is>
      </x:c>
      <x:c r="D11" t="inlineStr">
        <x:is>
          <x:t xml:space="preserve">Physical</x:t>
        </x:is>
      </x:c>
      <x:c r="E11" t="n">
        <x:v>3.5</x:v>
      </x:c>
      <x:c r="F11">
        <x:v>1</x:v>
      </x:c>
      <x:c r="G11">
        <x:v>0</x:v>
      </x:c>
      <x:c r="H11">
        <x:v>0</x:v>
      </x:c>
      <x:c r="I11">
        <x:v>40</x:v>
      </x:c>
      <x:c r="J11">
        <x:v>3</x:v>
      </x:c>
      <x:c r="K11" s="5" t="inlineStr">
        <x:is>
          <x:t xml:space="preserve">Instant target resolve</x:t>
        </x:is>
      </x:c>
      <x:c r="L11">
        <x:v>10</x:v>
      </x:c>
      <x:c r="M11" s="5" t="inlineStr">
        <x:is>
          <x:t xml:space="preserve">None</x:t>
        </x:is>
      </x:c>
      <x:c r="N11" s="5" t="inlineStr">
        <x:is>
          <x:t xml:space="preserve">Strength versus Endurance</x:t>
        </x:is>
      </x:c>
      <x:c r="O11" s="5" t="inlineStr">
        <x:is>
          <x:t xml:space="preserve">Combat/RockThrow.dm</x:t>
        </x:is>
      </x:c>
    </x:row>
    <x:row r="12">
      <x:c r="A12" t="inlineStr">
        <x:is>
          <x:t xml:space="preserve">Rock Throw - Rapid</x:t>
        </x:is>
      </x:c>
      <x:c r="B12" s="5" t="inlineStr">
        <x:is>
          <x:t xml:space="preserve">/obj/RockThrow</x:t>
        </x:is>
      </x:c>
      <x:c r="C12" t="inlineStr">
        <x:is>
          <x:t xml:space="preserve">Learnable mode</x:t>
        </x:is>
      </x:c>
      <x:c r="D12" t="inlineStr">
        <x:is>
          <x:t xml:space="preserve">Physical</x:t>
        </x:is>
      </x:c>
      <x:c r="E12">
        <x:v>1</x:v>
      </x:c>
      <x:c r="F12">
        <x:v>1</x:v>
      </x:c>
      <x:c r="G12">
        <x:v>0</x:v>
      </x:c>
      <x:c r="H12">
        <x:v>0</x:v>
      </x:c>
      <x:c r="I12">
        <x:v>16</x:v>
      </x:c>
      <x:c r="J12">
        <x:v>0</x:v>
      </x:c>
      <x:c r="K12" s="5" t="inlineStr">
        <x:is>
          <x:t xml:space="preserve">Instant target resolve</x:t>
        </x:is>
      </x:c>
      <x:c r="L12">
        <x:v>8</x:v>
      </x:c>
      <x:c r="M12" s="5" t="inlineStr">
        <x:is>
          <x:t xml:space="preserve">None</x:t>
        </x:is>
      </x:c>
      <x:c r="N12" s="5" t="inlineStr">
        <x:is>
          <x:t xml:space="preserve">No cooldown</x:t>
        </x:is>
      </x:c>
      <x:c r="O12" s="5" t="inlineStr">
        <x:is>
          <x:t xml:space="preserve">Combat/RockThrow.dm</x:t>
        </x:is>
      </x:c>
    </x:row>
    <x:row r="13">
      <x:c r="A13" t="inlineStr">
        <x:is>
          <x:t xml:space="preserve">Rock Slide</x:t>
        </x:is>
      </x:c>
      <x:c r="B13" s="5" t="inlineStr">
        <x:is>
          <x:t xml:space="preserve">/obj/RockSlide</x:t>
        </x:is>
      </x:c>
      <x:c r="C13" t="inlineStr">
        <x:is>
          <x:t xml:space="preserve">Learnable</x:t>
        </x:is>
      </x:c>
      <x:c r="D13" t="str">
        <x:v>Physical</x:v>
      </x:c>
      <x:c r="E13" t="n">
        <x:v>0.55</x:v>
      </x:c>
      <x:c r="F13" t="str">
        <x:v>7-15</x:v>
      </x:c>
      <x:c r="G13">
        <x:v>0</x:v>
      </x:c>
      <x:c r="H13">
        <x:v>0</x:v>
      </x:c>
      <x:c r="I13">
        <x:v>150</x:v>
      </x:c>
      <x:c r="J13">
        <x:v>12</x:v>
      </x:c>
      <x:c r="K13" s="5" t="str">
        <x:v>1 tick between rocks</x:v>
      </x:c>
      <x:c r="L13">
        <x:v>8</x:v>
      </x:c>
      <x:c r="M13" s="5" t="inlineStr">
        <x:is>
          <x:t xml:space="preserve">None</x:t>
        </x:is>
      </x:c>
      <x:c r="N13" s="5" t="str">
        <x:v>Strength-scaled sequence; maximum shared factor 8.25</x:v>
      </x:c>
      <x:c r="O13" s="5" t="inlineStr">
        <x:is>
          <x:t xml:space="preserve">Combat/RockThrow.dm</x:t>
        </x:is>
      </x:c>
    </x:row>
    <x:row r="14">
      <x:c r="A14" t="inlineStr">
        <x:is>
          <x:t xml:space="preserve">Rock Tomb</x:t>
        </x:is>
      </x:c>
      <x:c r="B14" s="5" t="inlineStr">
        <x:is>
          <x:t xml:space="preserve">/obj/RockTomb</x:t>
        </x:is>
      </x:c>
      <x:c r="C14" t="inlineStr">
        <x:is>
          <x:t xml:space="preserve">Learnable</x:t>
        </x:is>
      </x:c>
      <x:c r="D14" t="inlineStr">
        <x:is>
          <x:t xml:space="preserve">Physical</x:t>
        </x:is>
      </x:c>
      <x:c r="E14" t="n">
        <x:v>8</x:v>
      </x:c>
      <x:c r="F14">
        <x:v>1</x:v>
      </x:c>
      <x:c r="G14">
        <x:v>0</x:v>
      </x:c>
      <x:c r="H14" t="str">
        <x:v>30% mastered splash</x:v>
      </x:c>
      <x:c r="I14">
        <x:v>100</x:v>
      </x:c>
      <x:c r="J14">
        <x:v>15</x:v>
      </x:c>
      <x:c r="K14" s="5" t="inlineStr">
        <x:is>
          <x:t xml:space="preserve">Instant target resolve</x:t>
        </x:is>
      </x:c>
      <x:c r="L14">
        <x:v>12</x:v>
      </x:c>
      <x:c r="M14" s="5" t="inlineStr">
        <x:is>
          <x:t xml:space="preserve">None</x:t>
        </x:is>
      </x:c>
      <x:c r="N14" s="5" t="inlineStr">
        <x:is>
          <x:t xml:space="preserve">Mastered splash affects secondary targets only</x:t>
        </x:is>
      </x:c>
      <x:c r="O14" s="5" t="inlineStr">
        <x:is>
          <x:t xml:space="preserve">Combat/RockThrow.dm</x:t>
        </x:is>
      </x:c>
    </x:row>
    <x:row r="15">
      <x:c r="A15" t="inlineStr">
        <x:is>
          <x:t xml:space="preserve">Blast</x:t>
        </x:is>
      </x:c>
      <x:c r="B15" s="5" t="inlineStr">
        <x:is>
          <x:t xml:space="preserve">/obj/Attacks/Blast</x:t>
        </x:is>
      </x:c>
      <x:c r="C15" t="inlineStr">
        <x:is>
          <x:t xml:space="preserve">Learnable</x:t>
        </x:is>
      </x:c>
      <x:c r="D15" t="inlineStr">
        <x:is>
          <x:t xml:space="preserve">Ki</x:t>
        </x:is>
      </x:c>
      <x:c r="E15" t="inlineStr">
        <x:is>
          <x:t xml:space="preserve">0.35-0.5</x:t>
        </x:is>
      </x:c>
      <x:c r="F15" t="inlineStr">
        <x:is>
          <x:t xml:space="preserve">1-4</x:t>
        </x:is>
      </x:c>
      <x:c r="G15">
        <x:v>0</x:v>
      </x:c>
      <x:c r="H15" t="inlineStr">
        <x:is>
          <x:t xml:space="preserve">Optional equal splash</x:t>
        </x:is>
      </x:c>
      <x:c r="I15" t="inlineStr">
        <x:is>
          <x:t xml:space="preserve">Dynamic</x:t>
        </x:is>
      </x:c>
      <x:c r="J15" t="inlineStr">
        <x:is>
          <x:t xml:space="preserve">Dynamic</x:t>
        </x:is>
      </x:c>
      <x:c r="K15" s="5" t="inlineStr">
        <x:is>
          <x:t xml:space="preserve">No charge</x:t>
        </x:is>
      </x:c>
      <x:c r="L15">
        <x:v>47</x:v>
      </x:c>
      <x:c r="M15" s="5" t="inlineStr">
        <x:is>
          <x:t xml:space="preserve">None</x:t>
        </x:is>
      </x:c>
      <x:c r="N15" s="5" t="inlineStr">
        <x:is>
          <x:t xml:space="preserve">Shared factor budget 4</x:t>
        </x:is>
      </x:c>
      <x:c r="O15" s="5" t="inlineStr">
        <x:is>
          <x:t xml:space="preserve">ProjectileSystem/Blasts.dm; SkillEngine.dm</x:t>
        </x:is>
      </x:c>
    </x:row>
    <x:row r="16">
      <x:c r="A16" t="inlineStr">
        <x:is>
          <x:t xml:space="preserve">Big Bang Attack</x:t>
        </x:is>
      </x:c>
      <x:c r="B16" s="5" t="inlineStr">
        <x:is>
          <x:t xml:space="preserve">/obj/Attacks/Big_Bang_Attack</x:t>
        </x:is>
      </x:c>
      <x:c r="C16" t="inlineStr">
        <x:is>
          <x:t xml:space="preserve">Learnable</x:t>
        </x:is>
      </x:c>
      <x:c r="D16" t="inlineStr">
        <x:is>
          <x:t xml:space="preserve">Ki</x:t>
        </x:is>
      </x:c>
      <x:c r="E16">
        <x:v>22</x:v>
      </x:c>
      <x:c r="F16">
        <x:v>2</x:v>
      </x:c>
      <x:c r="G16">
        <x:v>0</x:v>
      </x:c>
      <x:c r="H16" t="inlineStr">
        <x:is>
          <x:t xml:space="preserve">22 splash</x:t>
        </x:is>
      </x:c>
      <x:c r="I16">
        <x:v>80</x:v>
      </x:c>
      <x:c r="J16">
        <x:v>0</x:v>
      </x:c>
      <x:c r="K16" s="5" t="inlineStr">
        <x:is>
          <x:t xml:space="preserve">18*SD(.4)</x:t>
        </x:is>
      </x:c>
      <x:c r="L16">
        <x:v>60</x:v>
      </x:c>
      <x:c r="M16" s="5" t="inlineStr">
        <x:is>
          <x:t xml:space="preserve">None</x:t>
        </x:is>
      </x:c>
      <x:c r="N16" s="5" t="inlineStr">
        <x:is>
          <x:t xml:space="preserve">22 direct + 22 splash; budget 44</x:t>
        </x:is>
      </x:c>
      <x:c r="O16" s="5" t="inlineStr">
        <x:is>
          <x:t xml:space="preserve">SkillEngine.dm</x:t>
        </x:is>
      </x:c>
    </x:row>
    <x:row r="17">
      <x:c r="A17" t="inlineStr">
        <x:is>
          <x:t xml:space="preserve">Charge</x:t>
        </x:is>
      </x:c>
      <x:c r="B17" s="5" t="inlineStr">
        <x:is>
          <x:t xml:space="preserve">/obj/Attacks/Charge</x:t>
        </x:is>
      </x:c>
      <x:c r="C17" t="inlineStr">
        <x:is>
          <x:t xml:space="preserve">Learnable</x:t>
        </x:is>
      </x:c>
      <x:c r="D17" t="inlineStr">
        <x:is>
          <x:t xml:space="preserve">Ki</x:t>
        </x:is>
      </x:c>
      <x:c r="E17">
        <x:v>4</x:v>
      </x:c>
      <x:c r="F17">
        <x:v>2</x:v>
      </x:c>
      <x:c r="G17">
        <x:v>0</x:v>
      </x:c>
      <x:c r="H17" t="inlineStr">
        <x:is>
          <x:t xml:space="preserve">4 splash</x:t>
        </x:is>
      </x:c>
      <x:c r="I17">
        <x:v>20</x:v>
      </x:c>
      <x:c r="J17">
        <x:v>0</x:v>
      </x:c>
      <x:c r="K17" s="5" t="inlineStr">
        <x:is>
          <x:t xml:space="preserve">7.5*SD(.6)</x:t>
        </x:is>
      </x:c>
      <x:c r="L17">
        <x:v>47</x:v>
      </x:c>
      <x:c r="M17" s="5" t="inlineStr">
        <x:is>
          <x:t xml:space="preserve">None</x:t>
        </x:is>
      </x:c>
      <x:c r="N17" s="5" t="inlineStr">
        <x:is>
          <x:t xml:space="preserve">4 direct + 4 splash</x:t>
        </x:is>
      </x:c>
      <x:c r="O17" s="5" t="inlineStr">
        <x:is>
          <x:t xml:space="preserve">SkillEngine.dm</x:t>
        </x:is>
      </x:c>
    </x:row>
    <x:row r="18">
      <x:c r="A18" t="inlineStr">
        <x:is>
          <x:t xml:space="preserve">Cyber Charge</x:t>
        </x:is>
      </x:c>
      <x:c r="B18" s="5" t="inlineStr">
        <x:is>
          <x:t xml:space="preserve">/obj/Attacks/Cyber_Charge</x:t>
        </x:is>
      </x:c>
      <x:c r="C18" t="inlineStr">
        <x:is>
          <x:t xml:space="preserve">Module grant</x:t>
        </x:is>
      </x:c>
      <x:c r="D18" t="inlineStr">
        <x:is>
          <x:t xml:space="preserve">Ki</x:t>
        </x:is>
      </x:c>
      <x:c r="E18">
        <x:v>2.5</x:v>
      </x:c>
      <x:c r="F18">
        <x:v>2</x:v>
      </x:c>
      <x:c r="G18">
        <x:v>0</x:v>
      </x:c>
      <x:c r="H18" t="inlineStr">
        <x:is>
          <x:t xml:space="preserve">2.5 splash</x:t>
        </x:is>
      </x:c>
      <x:c r="I18">
        <x:v>10</x:v>
      </x:c>
      <x:c r="J18">
        <x:v>0</x:v>
      </x:c>
      <x:c r="K18" s="5" t="inlineStr">
        <x:is>
          <x:t xml:space="preserve">5*SD(.6)</x:t>
        </x:is>
      </x:c>
      <x:c r="L18">
        <x:v>100</x:v>
      </x:c>
      <x:c r="M18" s="5" t="inlineStr">
        <x:is>
          <x:t xml:space="preserve">None</x:t>
        </x:is>
      </x:c>
      <x:c r="N18" s="5" t="inlineStr">
        <x:is>
          <x:t xml:space="preserve">2.5 direct + 2.5 splash</x:t>
        </x:is>
      </x:c>
      <x:c r="O18" s="5" t="inlineStr">
        <x:is>
          <x:t xml:space="preserve">SkillEngine.dm; Cybernetics.dm</x:t>
        </x:is>
      </x:c>
    </x:row>
    <x:row r="19">
      <x:c r="A19" t="inlineStr">
        <x:is>
          <x:t xml:space="preserve">Kienzan</x:t>
        </x:is>
      </x:c>
      <x:c r="B19" s="5" t="inlineStr">
        <x:is>
          <x:t xml:space="preserve">/obj/Attacks/Kienzan</x:t>
        </x:is>
      </x:c>
      <x:c r="C19" t="inlineStr">
        <x:is>
          <x:t xml:space="preserve">Learnable</x:t>
        </x:is>
      </x:c>
      <x:c r="D19" t="inlineStr">
        <x:is>
          <x:t xml:space="preserve">Ki</x:t>
        </x:is>
      </x:c>
      <x:c r="E19">
        <x:v>6</x:v>
      </x:c>
      <x:c r="F19">
        <x:v>1</x:v>
      </x:c>
      <x:c r="G19">
        <x:v>0</x:v>
      </x:c>
      <x:c r="H19">
        <x:v>0</x:v>
      </x:c>
      <x:c r="I19">
        <x:v>100</x:v>
      </x:c>
      <x:c r="J19">
        <x:v>0</x:v>
      </x:c>
      <x:c r="K19" s="5" t="inlineStr">
        <x:is>
          <x:t xml:space="preserve">12*SD(.3)</x:t>
        </x:is>
      </x:c>
      <x:c r="L19">
        <x:v>180</x:v>
      </x:c>
      <x:c r="M19" s="5" t="inlineStr">
        <x:is>
          <x:t xml:space="preserve">None</x:t>
        </x:is>
      </x:c>
      <x:c r="N19" s="5" t="inlineStr">
        <x:is>
          <x:t xml:space="preserve">Piercing, guided and owner-immune</x:t>
        </x:is>
      </x:c>
      <x:c r="O19" s="5" t="inlineStr">
        <x:is>
          <x:t xml:space="preserve">SkillEngine.dm; Blasts.dm</x:t>
        </x:is>
      </x:c>
    </x:row>
    <x:row r="20">
      <x:c r="A20" t="inlineStr">
        <x:is>
          <x:t xml:space="preserve">Sokidan</x:t>
        </x:is>
      </x:c>
      <x:c r="B20" s="5" t="inlineStr">
        <x:is>
          <x:t xml:space="preserve">/obj/Attacks/Sokidan</x:t>
        </x:is>
      </x:c>
      <x:c r="C20" t="inlineStr">
        <x:is>
          <x:t xml:space="preserve">Learnable</x:t>
        </x:is>
      </x:c>
      <x:c r="D20" t="inlineStr">
        <x:is>
          <x:t xml:space="preserve">Ki</x:t>
        </x:is>
      </x:c>
      <x:c r="E20">
        <x:v>3.5</x:v>
      </x:c>
      <x:c r="F20">
        <x:v>2</x:v>
      </x:c>
      <x:c r="G20">
        <x:v>0</x:v>
      </x:c>
      <x:c r="H20" t="inlineStr">
        <x:is>
          <x:t xml:space="preserve">3.5 splash</x:t>
        </x:is>
      </x:c>
      <x:c r="I20">
        <x:v>20</x:v>
      </x:c>
      <x:c r="J20">
        <x:v>2</x:v>
      </x:c>
      <x:c r="K20" s="5" t="inlineStr">
        <x:is>
          <x:t xml:space="preserve">7*SD(.7)</x:t>
        </x:is>
      </x:c>
      <x:c r="L20">
        <x:v>180</x:v>
      </x:c>
      <x:c r="M20" s="5" t="inlineStr">
        <x:is>
          <x:t xml:space="preserve">None</x:t>
        </x:is>
      </x:c>
      <x:c r="N20" s="5" t="inlineStr">
        <x:is>
          <x:t xml:space="preserve">Guided, owner-immune; budget 7</x:t>
        </x:is>
      </x:c>
      <x:c r="O20" s="5" t="inlineStr">
        <x:is>
          <x:t xml:space="preserve">SkillEngine.dm; SkillControllers.dm</x:t>
        </x:is>
      </x:c>
    </x:row>
    <x:row r="21">
      <x:c r="A21" t="inlineStr">
        <x:is>
          <x:t xml:space="preserve">Spin Blast</x:t>
        </x:is>
      </x:c>
      <x:c r="B21" s="5" t="inlineStr">
        <x:is>
          <x:t xml:space="preserve">/obj/Attacks/Spin_Blast</x:t>
        </x:is>
      </x:c>
      <x:c r="C21" t="inlineStr">
        <x:is>
          <x:t xml:space="preserve">Learnable</x:t>
        </x:is>
      </x:c>
      <x:c r="D21" t="inlineStr">
        <x:is>
          <x:t xml:space="preserve">Ki</x:t>
        </x:is>
      </x:c>
      <x:c r="E21">
        <x:v>0.5</x:v>
      </x:c>
      <x:c r="F21">
        <x:v>4</x:v>
      </x:c>
      <x:c r="G21">
        <x:v>0</x:v>
      </x:c>
      <x:c r="H21" t="inlineStr">
        <x:is>
          <x:t xml:space="preserve">Visual only</x:t>
        </x:is>
      </x:c>
      <x:c r="I21">
        <x:v>10</x:v>
      </x:c>
      <x:c r="J21">
        <x:v>0</x:v>
      </x:c>
      <x:c r="K21" s="5" t="inlineStr">
        <x:is>
          <x:t xml:space="preserve">No charge</x:t>
        </x:is>
      </x:c>
      <x:c r="L21">
        <x:v>100</x:v>
      </x:c>
      <x:c r="M21" s="5" t="inlineStr">
        <x:is>
          <x:t xml:space="preserve">None</x:t>
        </x:is>
      </x:c>
      <x:c r="N21" s="5" t="inlineStr">
        <x:is>
          <x:t xml:space="preserve">Four shots</x:t>
        </x:is>
      </x:c>
      <x:c r="O21" s="5" t="inlineStr">
        <x:is>
          <x:t xml:space="preserve">ProjectileSystem/Blasts.dm</x:t>
        </x:is>
      </x:c>
    </x:row>
    <x:row r="22">
      <x:c r="A22" t="inlineStr">
        <x:is>
          <x:t xml:space="preserve">Makosen</x:t>
        </x:is>
      </x:c>
      <x:c r="B22" s="5" t="inlineStr">
        <x:is>
          <x:t xml:space="preserve">/obj/Attacks/Makosen</x:t>
        </x:is>
      </x:c>
      <x:c r="C22" t="inlineStr">
        <x:is>
          <x:t xml:space="preserve">Learnable</x:t>
        </x:is>
      </x:c>
      <x:c r="D22" t="inlineStr">
        <x:is>
          <x:t xml:space="preserve">Ki</x:t>
        </x:is>
      </x:c>
      <x:c r="E22">
        <x:v>0.4</x:v>
      </x:c>
      <x:c r="F22">
        <x:v>20</x:v>
      </x:c>
      <x:c r="G22">
        <x:v>0</x:v>
      </x:c>
      <x:c r="H22">
        <x:v>0</x:v>
      </x:c>
      <x:c r="I22">
        <x:v>150</x:v>
      </x:c>
      <x:c r="J22">
        <x:v>0</x:v>
      </x:c>
      <x:c r="K22" s="5" t="inlineStr">
        <x:is>
          <x:t xml:space="preserve">14*SD(.4)</x:t>
        </x:is>
      </x:c>
      <x:c r="L22">
        <x:v>35</x:v>
      </x:c>
      <x:c r="M22" s="5" t="inlineStr">
        <x:is>
          <x:t xml:space="preserve">None</x:t>
        </x:is>
      </x:c>
      <x:c r="N22" s="5" t="inlineStr">
        <x:is>
          <x:t xml:space="preserve">Nondeflectable barrage capped at 20</x:t>
        </x:is>
      </x:c>
      <x:c r="O22" s="5" t="inlineStr">
        <x:is>
          <x:t xml:space="preserve">SkillEngine.dm; Blasts.dm</x:t>
        </x:is>
      </x:c>
    </x:row>
    <x:row r="23">
      <x:c r="A23" t="inlineStr">
        <x:is>
          <x:t xml:space="preserve">Scatter Shot</x:t>
        </x:is>
      </x:c>
      <x:c r="B23" s="5" t="inlineStr">
        <x:is>
          <x:t xml:space="preserve">/obj/Attacks/Scatter_Shot</x:t>
        </x:is>
      </x:c>
      <x:c r="C23" t="inlineStr">
        <x:is>
          <x:t xml:space="preserve">Learnable</x:t>
        </x:is>
      </x:c>
      <x:c r="D23" t="inlineStr">
        <x:is>
          <x:t xml:space="preserve">Ki</x:t>
        </x:is>
      </x:c>
      <x:c r="E23">
        <x:v>0.3</x:v>
      </x:c>
      <x:c r="F23" t="inlineStr">
        <x:is>
          <x:t xml:space="preserve">Dynamic</x:t>
        </x:is>
      </x:c>
      <x:c r="G23">
        <x:v>0</x:v>
      </x:c>
      <x:c r="H23" t="inlineStr">
        <x:is>
          <x:t xml:space="preserve">0.3 splash</x:t>
        </x:is>
      </x:c>
      <x:c r="I23">
        <x:v>30</x:v>
      </x:c>
      <x:c r="J23">
        <x:v>60</x:v>
      </x:c>
      <x:c r="K23" s="5" t="inlineStr">
        <x:is>
          <x:t xml:space="preserve">0.3ds between shots</x:t>
        </x:is>
      </x:c>
      <x:c r="L23">
        <x:v>70</x:v>
      </x:c>
      <x:c r="M23" s="5" t="inlineStr">
        <x:is>
          <x:t xml:space="preserve">None</x:t>
        </x:is>
      </x:c>
      <x:c r="N23" s="5" t="inlineStr">
        <x:is>
          <x:t xml:space="preserve">Shared factor budget 18 per victim</x:t>
        </x:is>
      </x:c>
      <x:c r="O23" s="5" t="inlineStr">
        <x:is>
          <x:t xml:space="preserve">SkillEngine.dm; Blasts.dm</x:t>
        </x:is>
      </x:c>
    </x:row>
    <x:row r="24">
      <x:c r="A24" t="inlineStr">
        <x:is>
          <x:t xml:space="preserve">Genocide</x:t>
        </x:is>
      </x:c>
      <x:c r="B24" s="5" t="inlineStr">
        <x:is>
          <x:t xml:space="preserve">/obj/Attacks/Genocide</x:t>
        </x:is>
      </x:c>
      <x:c r="C24" t="inlineStr">
        <x:is>
          <x:t xml:space="preserve">Learnable</x:t>
        </x:is>
      </x:c>
      <x:c r="D24" t="inlineStr">
        <x:is>
          <x:t xml:space="preserve">Ki</x:t>
        </x:is>
      </x:c>
      <x:c r="E24">
        <x:v>0.25</x:v>
      </x:c>
      <x:c r="F24">
        <x:v>12</x:v>
      </x:c>
      <x:c r="G24">
        <x:v>0</x:v>
      </x:c>
      <x:c r="H24">
        <x:v>0</x:v>
      </x:c>
      <x:c r="I24">
        <x:v>3</x:v>
      </x:c>
      <x:c r="J24">
        <x:v>0</x:v>
      </x:c>
      <x:c r="K24" s="5" t="inlineStr">
        <x:is>
          <x:t xml:space="preserve">5ds between shots</x:t>
        </x:is>
      </x:c>
      <x:c r="L24">
        <x:v>500</x:v>
      </x:c>
      <x:c r="M24" s="5" t="inlineStr">
        <x:is>
          <x:t xml:space="preserve">None</x:t>
        </x:is>
      </x:c>
      <x:c r="N24" s="5" t="inlineStr">
        <x:is>
          <x:t xml:space="preserve">Activation capped at 12</x:t>
        </x:is>
      </x:c>
      <x:c r="O24" s="5" t="inlineStr">
        <x:is>
          <x:t xml:space="preserve">ProjectileSystem/Blasts.dm</x:t>
        </x:is>
      </x:c>
    </x:row>
    <x:row r="25">
      <x:c r="A25" t="inlineStr">
        <x:is>
          <x:t xml:space="preserve">Buster Barrage</x:t>
        </x:is>
      </x:c>
      <x:c r="B25" s="5" t="inlineStr">
        <x:is>
          <x:t xml:space="preserve">/obj/Attacks/Buster_Barrage</x:t>
        </x:is>
      </x:c>
      <x:c r="C25" t="inlineStr">
        <x:is>
          <x:t xml:space="preserve">Learnable</x:t>
        </x:is>
      </x:c>
      <x:c r="D25" t="inlineStr">
        <x:is>
          <x:t xml:space="preserve">Ki</x:t>
        </x:is>
      </x:c>
      <x:c r="E25">
        <x:v>0.4</x:v>
      </x:c>
      <x:c r="F25">
        <x:v>20</x:v>
      </x:c>
      <x:c r="G25">
        <x:v>0</x:v>
      </x:c>
      <x:c r="H25" t="inlineStr">
        <x:is>
          <x:t xml:space="preserve">10% equal splash</x:t>
        </x:is>
      </x:c>
      <x:c r="I25">
        <x:v>9</x:v>
      </x:c>
      <x:c r="J25">
        <x:v>0</x:v>
      </x:c>
      <x:c r="K25" s="5" t="inlineStr">
        <x:is>
          <x:t xml:space="preserve">Per-shot interval</x:t>
        </x:is>
      </x:c>
      <x:c r="L25">
        <x:v>250</x:v>
      </x:c>
      <x:c r="M25" s="5" t="inlineStr">
        <x:is>
          <x:t xml:space="preserve">None</x:t>
        </x:is>
      </x:c>
      <x:c r="N25" s="5" t="inlineStr">
        <x:is>
          <x:t xml:space="preserve">20 shots; shared budget 16</x:t>
        </x:is>
      </x:c>
      <x:c r="O25" s="5" t="inlineStr">
        <x:is>
          <x:t xml:space="preserve">ProjectileSystem/Blasts.dm</x:t>
        </x:is>
      </x:c>
    </x:row>
    <x:row r="26">
      <x:c r="A26" t="inlineStr">
        <x:is>
          <x:t xml:space="preserve">Attack Barrier</x:t>
        </x:is>
      </x:c>
      <x:c r="B26" s="5" t="inlineStr">
        <x:is>
          <x:t xml:space="preserve">/obj/Attacks/Attack_Barrier</x:t>
        </x:is>
      </x:c>
      <x:c r="C26" t="inlineStr">
        <x:is>
          <x:t xml:space="preserve">Learnable</x:t>
        </x:is>
      </x:c>
      <x:c r="D26" t="inlineStr">
        <x:is>
          <x:t xml:space="preserve">Ki</x:t>
        </x:is>
      </x:c>
      <x:c r="E26">
        <x:v>0.2</x:v>
      </x:c>
      <x:c r="F26">
        <x:v>20</x:v>
      </x:c>
      <x:c r="G26">
        <x:v>0</x:v>
      </x:c>
      <x:c r="H26">
        <x:v>0</x:v>
      </x:c>
      <x:c r="I26">
        <x:v>6</x:v>
      </x:c>
      <x:c r="J26">
        <x:v>0</x:v>
      </x:c>
      <x:c r="K26" s="5" t="inlineStr">
        <x:is>
          <x:t xml:space="preserve">Initial delay</x:t>
        </x:is>
      </x:c>
      <x:c r="L26">
        <x:v>3</x:v>
      </x:c>
      <x:c r="M26" s="5" t="inlineStr">
        <x:is>
          <x:t xml:space="preserve">None</x:t>
        </x:is>
      </x:c>
      <x:c r="N26" s="5" t="inlineStr">
        <x:is>
          <x:t xml:space="preserve">Activation capped at 20 orbs</x:t>
        </x:is>
      </x:c>
      <x:c r="O26" s="5" t="inlineStr">
        <x:is>
          <x:t xml:space="preserve">ProjectileSystem/Blasts.dm; SkillEngine.dm</x:t>
        </x:is>
      </x:c>
    </x:row>
    <x:row r="27">
      <x:c r="A27" t="inlineStr">
        <x:is>
          <x:t xml:space="preserve">Noob Ray</x:t>
        </x:is>
      </x:c>
      <x:c r="B27" s="5" t="inlineStr">
        <x:is>
          <x:t xml:space="preserve">/obj/Attacks/Noob_Ray</x:t>
        </x:is>
      </x:c>
      <x:c r="C27" t="inlineStr">
        <x:is>
          <x:t xml:space="preserve">Unobtainable normally</x:t>
        </x:is>
      </x:c>
      <x:c r="D27" t="inlineStr">
        <x:is>
          <x:t xml:space="preserve">Ki Beam</x:t>
        </x:is>
      </x:c>
      <x:c r="E27">
        <x:v>52</x:v>
      </x:c>
      <x:c r="F27">
        <x:v>1</x:v>
      </x:c>
      <x:c r="G27">
        <x:v>1</x:v>
      </x:c>
      <x:c r="H27">
        <x:v>0</x:v>
      </x:c>
      <x:c r="I27" t="inlineStr">
        <x:is>
          <x:t xml:space="preserve">Recalculated 500.8</x:t>
        </x:is>
      </x:c>
      <x:c r="J27" t="n">
        <x:v>3</x:v>
      </x:c>
      <x:c r="K27" s="5" t="inlineStr">
        <x:is>
          <x:t xml:space="preserve">Beam toggle</x:t>
        </x:is>
      </x:c>
      <x:c r="L27">
        <x:v>50</x:v>
      </x:c>
      <x:c r="M27" s="5" t="inlineStr">
        <x:is>
          <x:t xml:space="preserve">None</x:t>
        </x:is>
      </x:c>
      <x:c r="N27" s="5" t="str">
        <x:v>Highest factor; 3s restart cooldown</x:v>
      </x:c>
      <x:c r="O27" s="5" t="inlineStr">
        <x:is>
          <x:t xml:space="preserve">ProjectileSystem/Beams.dm</x:t>
        </x:is>
      </x:c>
    </x:row>
    <x:row r="28">
      <x:c r="A28" t="inlineStr">
        <x:is>
          <x:t xml:space="preserve">Cyber Laser</x:t>
        </x:is>
      </x:c>
      <x:c r="B28" s="5" t="inlineStr">
        <x:is>
          <x:t xml:space="preserve">/obj/Attacks/Laser_Beam</x:t>
        </x:is>
      </x:c>
      <x:c r="C28" t="inlineStr">
        <x:is>
          <x:t xml:space="preserve">Module grant</x:t>
        </x:is>
      </x:c>
      <x:c r="D28" t="inlineStr">
        <x:is>
          <x:t xml:space="preserve">Ki Beam</x:t>
        </x:is>
      </x:c>
      <x:c r="E28">
        <x:v>4</x:v>
      </x:c>
      <x:c r="F28">
        <x:v>1</x:v>
      </x:c>
      <x:c r="G28">
        <x:v>1</x:v>
      </x:c>
      <x:c r="H28">
        <x:v>0</x:v>
      </x:c>
      <x:c r="I28" t="inlineStr">
        <x:is>
          <x:t xml:space="preserve">Recalculated 27.2</x:t>
        </x:is>
      </x:c>
      <x:c r="J28" t="n">
        <x:v>3</x:v>
      </x:c>
      <x:c r="K28" s="5" t="inlineStr">
        <x:is>
          <x:t xml:space="preserve">Beam toggle</x:t>
        </x:is>
      </x:c>
      <x:c r="L28">
        <x:v>60</x:v>
      </x:c>
      <x:c r="M28" s="5" t="inlineStr">
        <x:is>
          <x:t xml:space="preserve">None</x:t>
        </x:is>
      </x:c>
      <x:c r="N28" s="5" t="str">
        <x:v>Cumulative budget 4; 3s restart cooldown</x:v>
      </x:c>
      <x:c r="O28" s="5" t="inlineStr">
        <x:is>
          <x:t xml:space="preserve">ProjectileSystem/Beams.dm</x:t>
        </x:is>
      </x:c>
    </x:row>
    <x:row r="29">
      <x:c r="A29" t="inlineStr">
        <x:is>
          <x:t xml:space="preserve">Beam</x:t>
        </x:is>
      </x:c>
      <x:c r="B29" s="5" t="inlineStr">
        <x:is>
          <x:t xml:space="preserve">/obj/Attacks/Beam</x:t>
        </x:is>
      </x:c>
      <x:c r="C29" t="inlineStr">
        <x:is>
          <x:t xml:space="preserve">Learnable</x:t>
        </x:is>
      </x:c>
      <x:c r="D29" t="inlineStr">
        <x:is>
          <x:t xml:space="preserve">Ki Beam</x:t>
        </x:is>
      </x:c>
      <x:c r="E29">
        <x:v>3</x:v>
      </x:c>
      <x:c r="F29">
        <x:v>1</x:v>
      </x:c>
      <x:c r="G29">
        <x:v>1.5</x:v>
      </x:c>
      <x:c r="H29">
        <x:v>0</x:v>
      </x:c>
      <x:c r="I29" t="inlineStr">
        <x:is>
          <x:t xml:space="preserve">Recalculated 4.3</x:t>
        </x:is>
      </x:c>
      <x:c r="J29" t="n">
        <x:v>3</x:v>
      </x:c>
      <x:c r="K29" s="5" t="inlineStr">
        <x:is>
          <x:t xml:space="preserve">Beam toggle</x:t>
        </x:is>
      </x:c>
      <x:c r="L29">
        <x:v>40</x:v>
      </x:c>
      <x:c r="M29" s="5" t="inlineStr">
        <x:is>
          <x:t xml:space="preserve">None</x:t>
        </x:is>
      </x:c>
      <x:c r="N29" s="5" t="str">
        <x:v>Cumulative budget 3; 3s restart cooldown</x:v>
      </x:c>
      <x:c r="O29" s="5" t="inlineStr">
        <x:is>
          <x:t xml:space="preserve">ProjectileSystem/Beams.dm</x:t>
        </x:is>
      </x:c>
    </x:row>
    <x:row r="30">
      <x:c r="A30" t="inlineStr">
        <x:is>
          <x:t xml:space="preserve">Death Beam</x:t>
        </x:is>
      </x:c>
      <x:c r="B30" s="5" t="inlineStr">
        <x:is>
          <x:t xml:space="preserve">/obj/Attacks/Ray</x:t>
        </x:is>
      </x:c>
      <x:c r="C30" t="inlineStr">
        <x:is>
          <x:t xml:space="preserve">Learnable/granted</x:t>
        </x:is>
      </x:c>
      <x:c r="D30" t="inlineStr">
        <x:is>
          <x:t xml:space="preserve">Ki Beam</x:t>
        </x:is>
      </x:c>
      <x:c r="E30">
        <x:v>3</x:v>
      </x:c>
      <x:c r="F30">
        <x:v>1</x:v>
      </x:c>
      <x:c r="G30">
        <x:v>1</x:v>
      </x:c>
      <x:c r="H30">
        <x:v>0</x:v>
      </x:c>
      <x:c r="I30" t="inlineStr">
        <x:is>
          <x:t xml:space="preserve">Recalculated 5</x:t>
        </x:is>
      </x:c>
      <x:c r="J30" t="n">
        <x:v>3</x:v>
      </x:c>
      <x:c r="K30" s="5" t="inlineStr">
        <x:is>
          <x:t xml:space="preserve">Beam toggle</x:t>
        </x:is>
      </x:c>
      <x:c r="L30">
        <x:v>30</x:v>
      </x:c>
      <x:c r="M30" s="5" t="inlineStr">
        <x:is>
          <x:t xml:space="preserve">None</x:t>
        </x:is>
      </x:c>
      <x:c r="N30" s="5" t="str">
        <x:v>Cumulative budget 3; 3s restart cooldown</x:v>
      </x:c>
      <x:c r="O30" s="5" t="inlineStr">
        <x:is>
          <x:t xml:space="preserve">ProjectileSystem/Beams.dm</x:t>
        </x:is>
      </x:c>
    </x:row>
    <x:row r="31">
      <x:c r="A31" t="inlineStr">
        <x:is>
          <x:t xml:space="preserve">Makankosappo</x:t>
        </x:is>
      </x:c>
      <x:c r="B31" s="5" t="inlineStr">
        <x:is>
          <x:t xml:space="preserve">/obj/Attacks/Piercer</x:t>
        </x:is>
      </x:c>
      <x:c r="C31" t="inlineStr">
        <x:is>
          <x:t xml:space="preserve">Learnable/granted</x:t>
        </x:is>
      </x:c>
      <x:c r="D31" t="inlineStr">
        <x:is>
          <x:t xml:space="preserve">Ki Beam</x:t>
        </x:is>
      </x:c>
      <x:c r="E31">
        <x:v>5</x:v>
      </x:c>
      <x:c r="F31">
        <x:v>1</x:v>
      </x:c>
      <x:c r="G31">
        <x:v>1</x:v>
      </x:c>
      <x:c r="H31">
        <x:v>0</x:v>
      </x:c>
      <x:c r="I31" t="inlineStr">
        <x:is>
          <x:t xml:space="preserve">Recalculated 13.7</x:t>
        </x:is>
      </x:c>
      <x:c r="J31" t="n">
        <x:v>3</x:v>
      </x:c>
      <x:c r="K31" s="5" t="inlineStr">
        <x:is>
          <x:t xml:space="preserve">Beam toggle</x:t>
        </x:is>
      </x:c>
      <x:c r="L31">
        <x:v>60</x:v>
      </x:c>
      <x:c r="M31" s="5" t="inlineStr">
        <x:is>
          <x:t xml:space="preserve">None</x:t>
        </x:is>
      </x:c>
      <x:c r="N31" s="5" t="str">
        <x:v>Shield pierce; 3s restart cooldown</x:v>
      </x:c>
      <x:c r="O31" s="5" t="inlineStr">
        <x:is>
          <x:t xml:space="preserve">ProjectileSystem/Beams.dm</x:t>
        </x:is>
      </x:c>
    </x:row>
    <x:row r="32">
      <x:c r="A32" t="inlineStr">
        <x:is>
          <x:t xml:space="preserve">Kamehameha</x:t>
        </x:is>
      </x:c>
      <x:c r="B32" s="5" t="inlineStr">
        <x:is>
          <x:t xml:space="preserve">/obj/Attacks/Kamehameha</x:t>
        </x:is>
      </x:c>
      <x:c r="C32" t="inlineStr">
        <x:is>
          <x:t xml:space="preserve">Granted</x:t>
        </x:is>
      </x:c>
      <x:c r="D32" t="inlineStr">
        <x:is>
          <x:t xml:space="preserve">Ki Beam</x:t>
        </x:is>
      </x:c>
      <x:c r="E32">
        <x:v>8</x:v>
      </x:c>
      <x:c r="F32">
        <x:v>1</x:v>
      </x:c>
      <x:c r="G32">
        <x:v>1.5</x:v>
      </x:c>
      <x:c r="H32">
        <x:v>0</x:v>
      </x:c>
      <x:c r="I32" t="inlineStr">
        <x:is>
          <x:t xml:space="preserve">Recalculated 12.9</x:t>
        </x:is>
      </x:c>
      <x:c r="J32" t="n">
        <x:v>3</x:v>
      </x:c>
      <x:c r="K32" s="5" t="inlineStr">
        <x:is>
          <x:t xml:space="preserve">Beam toggle</x:t>
        </x:is>
      </x:c>
      <x:c r="L32">
        <x:v>40</x:v>
      </x:c>
      <x:c r="M32" s="5" t="inlineStr">
        <x:is>
          <x:t xml:space="preserve">None</x:t>
        </x:is>
      </x:c>
      <x:c r="N32" s="5" t="str">
        <x:v>Cumulative budget 8; 3s restart cooldown</x:v>
      </x:c>
      <x:c r="O32" s="5" t="inlineStr">
        <x:is>
          <x:t xml:space="preserve">ProjectileSystem/Beams.dm</x:t>
        </x:is>
      </x:c>
    </x:row>
    <x:row r="33">
      <x:c r="A33" t="inlineStr">
        <x:is>
          <x:t xml:space="preserve">Dodompa</x:t>
        </x:is>
      </x:c>
      <x:c r="B33" s="5" t="inlineStr">
        <x:is>
          <x:t xml:space="preserve">/obj/Attacks/Dodompa</x:t>
        </x:is>
      </x:c>
      <x:c r="C33" t="inlineStr">
        <x:is>
          <x:t xml:space="preserve">Granted</x:t>
        </x:is>
      </x:c>
      <x:c r="D33" t="inlineStr">
        <x:is>
          <x:t xml:space="preserve">Ki Beam</x:t>
        </x:is>
      </x:c>
      <x:c r="E33">
        <x:v>5</x:v>
      </x:c>
      <x:c r="F33">
        <x:v>1</x:v>
      </x:c>
      <x:c r="G33">
        <x:v>1.2</x:v>
      </x:c>
      <x:c r="H33">
        <x:v>0</x:v>
      </x:c>
      <x:c r="I33" t="inlineStr">
        <x:is>
          <x:t xml:space="preserve">Recalculated 8.6</x:t>
        </x:is>
      </x:c>
      <x:c r="J33" t="n">
        <x:v>3</x:v>
      </x:c>
      <x:c r="K33" s="5" t="inlineStr">
        <x:is>
          <x:t xml:space="preserve">Beam toggle</x:t>
        </x:is>
      </x:c>
      <x:c r="L33">
        <x:v>32</x:v>
      </x:c>
      <x:c r="M33" s="5" t="inlineStr">
        <x:is>
          <x:t xml:space="preserve">None</x:t>
        </x:is>
      </x:c>
      <x:c r="N33" s="5" t="str">
        <x:v>Range utility; 3s restart cooldown</x:v>
      </x:c>
      <x:c r="O33" s="5" t="inlineStr">
        <x:is>
          <x:t xml:space="preserve">ProjectileSystem/Beams.dm</x:t>
        </x:is>
      </x:c>
    </x:row>
    <x:row r="34">
      <x:c r="A34" t="inlineStr">
        <x:is>
          <x:t xml:space="preserve">Final Flash</x:t>
        </x:is>
      </x:c>
      <x:c r="B34" s="5" t="inlineStr">
        <x:is>
          <x:t xml:space="preserve">/obj/Attacks/Final_Flash</x:t>
        </x:is>
      </x:c>
      <x:c r="C34" t="inlineStr">
        <x:is>
          <x:t xml:space="preserve">Granted</x:t>
        </x:is>
      </x:c>
      <x:c r="D34" t="inlineStr">
        <x:is>
          <x:t xml:space="preserve">Ki Beam</x:t>
        </x:is>
      </x:c>
      <x:c r="E34">
        <x:v>12</x:v>
      </x:c>
      <x:c r="F34">
        <x:v>1</x:v>
      </x:c>
      <x:c r="G34">
        <x:v>2</x:v>
      </x:c>
      <x:c r="H34">
        <x:v>0</x:v>
      </x:c>
      <x:c r="I34" t="inlineStr">
        <x:is>
          <x:t xml:space="preserve">Recalculated 21.2</x:t>
        </x:is>
      </x:c>
      <x:c r="J34" t="n">
        <x:v>3</x:v>
      </x:c>
      <x:c r="K34" s="5" t="inlineStr">
        <x:is>
          <x:t xml:space="preserve">Beam toggle</x:t>
        </x:is>
      </x:c>
      <x:c r="L34">
        <x:v>60</x:v>
      </x:c>
      <x:c r="M34" s="5" t="inlineStr">
        <x:is>
          <x:t xml:space="preserve">None</x:t>
        </x:is>
      </x:c>
      <x:c r="N34" s="5" t="str">
        <x:v>Cumulative budget 12; 3s restart cooldown</x:v>
      </x:c>
      <x:c r="O34" s="5" t="inlineStr">
        <x:is>
          <x:t xml:space="preserve">ProjectileSystem/Beams.dm</x:t>
        </x:is>
      </x:c>
    </x:row>
    <x:row r="35">
      <x:c r="A35" t="inlineStr">
        <x:is>
          <x:t xml:space="preserve">Galick Gun</x:t>
        </x:is>
      </x:c>
      <x:c r="B35" s="5" t="inlineStr">
        <x:is>
          <x:t xml:space="preserve">/obj/Attacks/Garlic_Gun</x:t>
        </x:is>
      </x:c>
      <x:c r="C35" t="inlineStr">
        <x:is>
          <x:t xml:space="preserve">Granted</x:t>
        </x:is>
      </x:c>
      <x:c r="D35" t="inlineStr">
        <x:is>
          <x:t xml:space="preserve">Ki Beam</x:t>
        </x:is>
      </x:c>
      <x:c r="E35">
        <x:v>7</x:v>
      </x:c>
      <x:c r="F35">
        <x:v>1</x:v>
      </x:c>
      <x:c r="G35">
        <x:v>1.8</x:v>
      </x:c>
      <x:c r="H35">
        <x:v>0</x:v>
      </x:c>
      <x:c r="I35" t="inlineStr">
        <x:is>
          <x:t xml:space="preserve">Recalculated 9</x:t>
        </x:is>
      </x:c>
      <x:c r="J35" t="n">
        <x:v>3</x:v>
      </x:c>
      <x:c r="K35" s="5" t="inlineStr">
        <x:is>
          <x:t xml:space="preserve">Beam toggle</x:t>
        </x:is>
      </x:c>
      <x:c r="L35">
        <x:v>40</x:v>
      </x:c>
      <x:c r="M35" s="5" t="inlineStr">
        <x:is>
          <x:t xml:space="preserve">None</x:t>
        </x:is>
      </x:c>
      <x:c r="N35" s="5" t="str">
        <x:v>Cumulative budget 7; 3s restart cooldown</x:v>
      </x:c>
      <x:c r="O35" s="5" t="inlineStr">
        <x:is>
          <x:t xml:space="preserve">ProjectileSystem/Beams.dm</x:t>
        </x:is>
      </x:c>
    </x:row>
    <x:row r="36">
      <x:c r="A36" t="inlineStr">
        <x:is>
          <x:t xml:space="preserve">Masenko</x:t>
        </x:is>
      </x:c>
      <x:c r="B36" s="5" t="inlineStr">
        <x:is>
          <x:t xml:space="preserve">/obj/Attacks/Masenko</x:t>
        </x:is>
      </x:c>
      <x:c r="C36" t="inlineStr">
        <x:is>
          <x:t xml:space="preserve">Granted</x:t>
        </x:is>
      </x:c>
      <x:c r="D36" t="inlineStr">
        <x:is>
          <x:t xml:space="preserve">Ki Beam</x:t>
        </x:is>
      </x:c>
      <x:c r="E36">
        <x:v>6</x:v>
      </x:c>
      <x:c r="F36">
        <x:v>1</x:v>
      </x:c>
      <x:c r="G36">
        <x:v>1.4</x:v>
      </x:c>
      <x:c r="H36">
        <x:v>0</x:v>
      </x:c>
      <x:c r="I36" t="inlineStr">
        <x:is>
          <x:t xml:space="preserve">Recalculated 9.1</x:t>
        </x:is>
      </x:c>
      <x:c r="J36" t="n">
        <x:v>3</x:v>
      </x:c>
      <x:c r="K36" s="5" t="inlineStr">
        <x:is>
          <x:t xml:space="preserve">Beam toggle</x:t>
        </x:is>
      </x:c>
      <x:c r="L36">
        <x:v>32</x:v>
      </x:c>
      <x:c r="M36" s="5" t="inlineStr">
        <x:is>
          <x:t xml:space="preserve">None</x:t>
        </x:is>
      </x:c>
      <x:c r="N36" s="5" t="str">
        <x:v>Range utility; 3s restart cooldown</x:v>
      </x:c>
      <x:c r="O36" s="5" t="inlineStr">
        <x:is>
          <x:t xml:space="preserve">ProjectileSystem/Beams.dm</x:t>
        </x:is>
      </x:c>
    </x:row>
    <x:row r="37">
      <x:c r="A37" t="inlineStr">
        <x:is>
          <x:t xml:space="preserve">Explosion</x:t>
        </x:is>
      </x:c>
      <x:c r="B37" s="5" t="inlineStr">
        <x:is>
          <x:t xml:space="preserve">/obj/Attacks/Explosion</x:t>
        </x:is>
      </x:c>
      <x:c r="C37" t="inlineStr">
        <x:is>
          <x:t xml:space="preserve">Learnable</x:t>
        </x:is>
      </x:c>
      <x:c r="D37" t="inlineStr">
        <x:is>
          <x:t xml:space="preserve">Ki AoE</x:t>
        </x:is>
      </x:c>
      <x:c r="E37">
        <x:v>3</x:v>
      </x:c>
      <x:c r="F37">
        <x:v>1</x:v>
      </x:c>
      <x:c r="G37">
        <x:v>0</x:v>
      </x:c>
      <x:c r="H37">
        <x:v>5</x:v>
      </x:c>
      <x:c r="I37">
        <x:v>150</x:v>
      </x:c>
      <x:c r="J37" t="inlineStr">
        <x:is>
          <x:t xml:space="preserve">2*SD(.35)</x:t>
        </x:is>
      </x:c>
      <x:c r="K37" s="5" t="inlineStr">
        <x:is>
          <x:t xml:space="preserve">No charge</x:t>
        </x:is>
      </x:c>
      <x:c r="L37">
        <x:v>20</x:v>
      </x:c>
      <x:c r="M37" s="5" t="inlineStr">
        <x:is>
          <x:t xml:space="preserve">None</x:t>
        </x:is>
      </x:c>
      <x:c r="N37" s="5" t="inlineStr">
        <x:is>
          <x:t xml:space="preserve">Force versus Resistance</x:t>
        </x:is>
      </x:c>
      <x:c r="O37" s="5" t="inlineStr">
        <x:is>
          <x:t xml:space="preserve">SkillEngine.dm</x:t>
        </x:is>
      </x:c>
    </x:row>
    <x:row r="38">
      <x:c r="A38" t="inlineStr">
        <x:is>
          <x:t xml:space="preserve">Shockwave</x:t>
        </x:is>
      </x:c>
      <x:c r="B38" s="5" t="inlineStr">
        <x:is>
          <x:t xml:space="preserve">/obj/Attacks/Shockwave</x:t>
        </x:is>
      </x:c>
      <x:c r="C38" t="inlineStr">
        <x:is>
          <x:t xml:space="preserve">Learnable</x:t>
        </x:is>
      </x:c>
      <x:c r="D38" t="inlineStr">
        <x:is>
          <x:t xml:space="preserve">Hybrid AoE</x:t>
        </x:is>
      </x:c>
      <x:c r="E38">
        <x:v>0.5</x:v>
      </x:c>
      <x:c r="F38">
        <x:v>7</x:v>
      </x:c>
      <x:c r="G38">
        <x:v>0</x:v>
      </x:c>
      <x:c r="H38">
        <x:v>10</x:v>
      </x:c>
      <x:c r="I38">
        <x:v>15</x:v>
      </x:c>
      <x:c r="J38" t="inlineStr">
        <x:is>
          <x:t xml:space="preserve">7*SD(.25)</x:t>
        </x:is>
      </x:c>
      <x:c r="K38" s="5" t="inlineStr">
        <x:is>
          <x:t xml:space="preserve">No charge</x:t>
        </x:is>
      </x:c>
      <x:c r="L38">
        <x:v>10</x:v>
      </x:c>
      <x:c r="M38" s="5" t="inlineStr">
        <x:is>
          <x:t xml:space="preserve">None</x:t>
        </x:is>
      </x:c>
      <x:c r="N38" s="5" t="inlineStr">
        <x:is>
          <x:t xml:space="preserve">Half physical and half Ki per pulse</x:t>
        </x:is>
      </x:c>
      <x:c r="O38" s="5" t="inlineStr">
        <x:is>
          <x:t xml:space="preserve">SkillEngine.dm</x:t>
        </x:is>
      </x:c>
    </x:row>
    <x:row r="39">
      <x:c r="A39" t="inlineStr">
        <x:is>
          <x:t xml:space="preserve">Kikoho</x:t>
        </x:is>
      </x:c>
      <x:c r="B39" s="5" t="inlineStr">
        <x:is>
          <x:t xml:space="preserve">/obj/Attacks/Kikoho</x:t>
        </x:is>
      </x:c>
      <x:c r="C39" t="inlineStr">
        <x:is>
          <x:t xml:space="preserve">Granted</x:t>
        </x:is>
      </x:c>
      <x:c r="D39" t="inlineStr">
        <x:is>
          <x:t xml:space="preserve">Ki</x:t>
        </x:is>
      </x:c>
      <x:c r="E39">
        <x:v>7</x:v>
      </x:c>
      <x:c r="F39">
        <x:v>1</x:v>
      </x:c>
      <x:c r="G39">
        <x:v>0</x:v>
      </x:c>
      <x:c r="H39">
        <x:v>0</x:v>
      </x:c>
      <x:c r="I39">
        <x:v>100</x:v>
      </x:c>
      <x:c r="J39">
        <x:v>0</x:v>
      </x:c>
      <x:c r="K39" s="5" t="inlineStr">
        <x:is>
          <x:t xml:space="preserve">0.5*(5+11*SD(.4))</x:t>
        </x:is>
      </x:c>
      <x:c r="L39">
        <x:v>11</x:v>
      </x:c>
      <x:c r="M39" s="5" t="inlineStr">
        <x:is>
          <x:t xml:space="preserve">None</x:t>
        </x:is>
      </x:c>
      <x:c r="N39" s="5" t="inlineStr">
        <x:is>
          <x:t xml:space="preserve">Instant hit; separate self-damage pool +24</x:t>
        </x:is>
      </x:c>
      <x:c r="O39" s="5" t="inlineStr">
        <x:is>
          <x:t xml:space="preserve">Combat/KiSkills/Kikoho2016.dm</x:t>
        </x:is>
      </x:c>
    </x:row>
    <x:row r="40">
      <x:c r="A40" t="inlineStr">
        <x:is>
          <x:t xml:space="preserve">Omega Bomb</x:t>
        </x:is>
      </x:c>
      <x:c r="B40" s="5" t="inlineStr">
        <x:is>
          <x:t xml:space="preserve">/obj/Attacks/Genki_Dama</x:t>
        </x:is>
      </x:c>
      <x:c r="C40" t="inlineStr">
        <x:is>
          <x:t xml:space="preserve">Granted</x:t>
        </x:is>
      </x:c>
      <x:c r="D40" t="inlineStr">
        <x:is>
          <x:t xml:space="preserve">Ki charge</x:t>
        </x:is>
      </x:c>
      <x:c r="E40" t="inlineStr">
        <x:is>
          <x:t xml:space="preserve">4-15</x:t>
        </x:is>
      </x:c>
      <x:c r="F40">
        <x:v>2</x:v>
      </x:c>
      <x:c r="G40">
        <x:v>0</x:v>
      </x:c>
      <x:c r="H40">
        <x:v>5</x:v>
      </x:c>
      <x:c r="I40">
        <x:v>1000</x:v>
      </x:c>
      <x:c r="J40">
        <x:v>90</x:v>
      </x:c>
      <x:c r="K40" s="5" t="inlineStr">
        <x:is>
          <x:t xml:space="preserve">25-100% charge</x:t>
        </x:is>
      </x:c>
      <x:c r="L40">
        <x:v>100</x:v>
      </x:c>
      <x:c r="M40" s="5" t="inlineStr">
        <x:is>
          <x:t xml:space="preserve">None</x:t>
        </x:is>
      </x:c>
      <x:c r="N40" s="5" t="inlineStr">
        <x:is>
          <x:t xml:space="preserve">Equal direct+splash; total 8-30</x:t>
        </x:is>
      </x:c>
      <x:c r="O40" s="5" t="inlineStr">
        <x:is>
          <x:t xml:space="preserve">Combat/KiSkills/SpiritBomb2016.dm</x:t>
        </x:is>
      </x:c>
    </x:row>
    <x:row r="41">
      <x:c r="A41" t="inlineStr">
        <x:is>
          <x:t xml:space="preserve">Death Ball</x:t>
        </x:is>
      </x:c>
      <x:c r="B41" s="5" t="inlineStr">
        <x:is>
          <x:t xml:space="preserve">/obj/Attacks/Genki_Dama/Death_Ball</x:t>
        </x:is>
      </x:c>
      <x:c r="C41" t="inlineStr">
        <x:is>
          <x:t xml:space="preserve">Learnable/granted</x:t>
        </x:is>
      </x:c>
      <x:c r="D41" t="inlineStr">
        <x:is>
          <x:t xml:space="preserve">Ki charge</x:t>
        </x:is>
      </x:c>
      <x:c r="E41" t="inlineStr">
        <x:is>
          <x:t xml:space="preserve">2.5-10</x:t>
        </x:is>
      </x:c>
      <x:c r="F41">
        <x:v>1</x:v>
      </x:c>
      <x:c r="G41">
        <x:v>0</x:v>
      </x:c>
      <x:c r="H41">
        <x:v>0</x:v>
      </x:c>
      <x:c r="I41">
        <x:v>750</x:v>
      </x:c>
      <x:c r="J41">
        <x:v>0</x:v>
      </x:c>
      <x:c r="K41" s="5" t="inlineStr">
        <x:is>
          <x:t xml:space="preserve">25-100% charge</x:t>
        </x:is>
      </x:c>
      <x:c r="L41">
        <x:v>100</x:v>
      </x:c>
      <x:c r="M41" s="5" t="inlineStr">
        <x:is>
          <x:t xml:space="preserve">None</x:t>
        </x:is>
      </x:c>
      <x:c r="N41" s="5" t="inlineStr">
        <x:is>
          <x:t xml:space="preserve">Explicit capped interpolation</x:t>
        </x:is>
      </x:c>
      <x:c r="O41" s="5" t="inlineStr">
        <x:is>
          <x:t xml:space="preserve">Combat/KiSkills/DeathBall2017.dm</x:t>
        </x:is>
      </x:c>
    </x:row>
    <x:row r="42">
      <x:c r="A42" t="inlineStr">
        <x:is>
          <x:t xml:space="preserve">Supernova</x:t>
        </x:is>
      </x:c>
      <x:c r="B42" s="5" t="inlineStr">
        <x:is>
          <x:t xml:space="preserve">/obj/Attacks/Genki_Dama/Supernova</x:t>
        </x:is>
      </x:c>
      <x:c r="C42" t="inlineStr">
        <x:is>
          <x:t xml:space="preserve">Learnable/granted</x:t>
        </x:is>
      </x:c>
      <x:c r="D42" t="inlineStr">
        <x:is>
          <x:t xml:space="preserve">Ki charge</x:t>
        </x:is>
      </x:c>
      <x:c r="E42" t="inlineStr">
        <x:is>
          <x:t xml:space="preserve">2-5</x:t>
        </x:is>
      </x:c>
      <x:c r="F42">
        <x:v>2</x:v>
      </x:c>
      <x:c r="G42">
        <x:v>0</x:v>
      </x:c>
      <x:c r="H42">
        <x:v>5</x:v>
      </x:c>
      <x:c r="I42">
        <x:v>500</x:v>
      </x:c>
      <x:c r="J42">
        <x:v>0</x:v>
      </x:c>
      <x:c r="K42" s="5" t="inlineStr">
        <x:is>
          <x:t xml:space="preserve">25-100% charge</x:t>
        </x:is>
      </x:c>
      <x:c r="L42">
        <x:v>100</x:v>
      </x:c>
      <x:c r="M42" s="5" t="inlineStr">
        <x:is>
          <x:t xml:space="preserve">None</x:t>
        </x:is>
      </x:c>
      <x:c r="N42" s="5" t="inlineStr">
        <x:is>
          <x:t xml:space="preserve">Equal direct+splash; total 4-10</x:t>
        </x:is>
      </x:c>
      <x:c r="O42" s="5" t="inlineStr">
        <x:is>
          <x:t xml:space="preserve">Combat/KiSkills/Supernova.dm</x:t>
        </x:is>
      </x:c>
    </x:row>
    <x:row r="43">
      <x:c r="A43" t="inlineStr">
        <x:is>
          <x:t xml:space="preserve">Final Explosion</x:t>
        </x:is>
      </x:c>
      <x:c r="B43" s="5" t="inlineStr">
        <x:is>
          <x:t xml:space="preserve">/obj/Final_Explosion</x:t>
        </x:is>
      </x:c>
      <x:c r="C43" t="inlineStr">
        <x:is>
          <x:t xml:space="preserve">Learnable</x:t>
        </x:is>
      </x:c>
      <x:c r="D43" t="inlineStr">
        <x:is>
          <x:t xml:space="preserve">Ki AoE</x:t>
        </x:is>
      </x:c>
      <x:c r="E43" t="inlineStr">
        <x:is>
          <x:t xml:space="preserve">1-5</x:t>
        </x:is>
      </x:c>
      <x:c r="F43">
        <x:v>5</x:v>
      </x:c>
      <x:c r="G43">
        <x:v>0</x:v>
      </x:c>
      <x:c r="H43" t="inlineStr">
        <x:is>
          <x:t xml:space="preserve">Charge-scaled radius</x:t>
        </x:is>
      </x:c>
      <x:c r="I43">
        <x:v>0</x:v>
      </x:c>
      <x:c r="J43">
        <x:v>0</x:v>
      </x:c>
      <x:c r="K43" s="5" t="inlineStr">
        <x:is>
          <x:t xml:space="preserve">Total 5-25</x:t>
        </x:is>
      </x:c>
      <x:c r="L43" t="inlineStr">
        <x:is>
          <x:t xml:space="preserve">Dynamic</x:t>
        </x:is>
      </x:c>
      <x:c r="M43" s="5" t="inlineStr">
        <x:is>
          <x:t xml:space="preserve">None</x:t>
        </x:is>
      </x:c>
      <x:c r="N43" s="5" t="inlineStr">
        <x:is>
          <x:t xml:space="preserve">Five stacks; visual range decoupled from damage</x:t>
        </x:is>
      </x:c>
      <x:c r="O43" s="5" t="inlineStr">
        <x:is>
          <x:t xml:space="preserve">Combat/KiSkills/FinalExplosion.dm</x:t>
        </x:is>
      </x:c>
    </x:row>
    <x:row r="44">
      <x:c r="A44" t="inlineStr">
        <x:is>
          <x:t xml:space="preserve">Self Destruct</x:t>
        </x:is>
      </x:c>
      <x:c r="B44" s="5" t="inlineStr">
        <x:is>
          <x:t xml:space="preserve">/obj/Self_Destruct</x:t>
        </x:is>
      </x:c>
      <x:c r="C44" t="inlineStr">
        <x:is>
          <x:t xml:space="preserve">Learnable/granted</x:t>
        </x:is>
      </x:c>
      <x:c r="D44" t="inlineStr">
        <x:is>
          <x:t xml:space="preserve">Ki AoE</x:t>
        </x:is>
      </x:c>
      <x:c r="E44">
        <x:v>30</x:v>
      </x:c>
      <x:c r="F44">
        <x:v>1</x:v>
      </x:c>
      <x:c r="G44">
        <x:v>0</x:v>
      </x:c>
      <x:c r="H44">
        <x:v>10</x:v>
      </x:c>
      <x:c r="I44" t="inlineStr">
        <x:is>
          <x:t xml:space="preserve">Caster dies</x:t>
        </x:is>
      </x:c>
      <x:c r="J44">
        <x:v>1200</x:v>
      </x:c>
      <x:c r="K44" s="5" t="inlineStr">
        <x:is>
          <x:t xml:space="preserve">No charge</x:t>
        </x:is>
      </x:c>
      <x:c r="L44">
        <x:v>10</x:v>
      </x:c>
      <x:c r="M44" s="5" t="inlineStr">
        <x:is>
          <x:t xml:space="preserve">None</x:t>
        </x:is>
      </x:c>
      <x:c r="N44" s="5" t="inlineStr">
        <x:is>
          <x:t xml:space="preserve">Rebuild/Regenerate x0.5; no repeated anger hit</x:t>
        </x:is>
      </x:c>
      <x:c r="O44" s="5" t="inlineStr">
        <x:is>
          <x:t xml:space="preserve">Combat/Skills.dm</x:t>
        </x:is>
      </x:c>
    </x:row>
    <x:row r="45">
      <x:c r="A45" t="inlineStr">
        <x:is>
          <x:t xml:space="preserve">Hakai</x:t>
        </x:is>
      </x:c>
      <x:c r="B45" s="5" t="inlineStr">
        <x:is>
          <x:t xml:space="preserve">/obj/Hakai</x:t>
        </x:is>
      </x:c>
      <x:c r="C45" t="inlineStr">
        <x:is>
          <x:t xml:space="preserve">Granted</x:t>
        </x:is>
      </x:c>
      <x:c r="D45" t="inlineStr">
        <x:is>
          <x:t xml:space="preserve">Execution</x:t>
        </x:is>
      </x:c>
      <x:c r="E45">
        <x:v>0</x:v>
      </x:c>
      <x:c r="F45">
        <x:v>1</x:v>
      </x:c>
      <x:c r="G45">
        <x:v>0</x:v>
      </x:c>
      <x:c r="H45">
        <x:v>0</x:v>
      </x:c>
      <x:c r="I45" t="inlineStr">
        <x:is>
          <x:t xml:space="preserve">25% current Ki</x:t>
        </x:is>
      </x:c>
      <x:c r="J45">
        <x:v>30</x:v>
      </x:c>
      <x:c r="K45" s="5" t="inlineStr">
        <x:is>
          <x:t xml:space="preserve">About 8.5s</x:t>
        </x:is>
      </x:c>
      <x:c r="L45">
        <x:v>20</x:v>
      </x:c>
      <x:c r="M45" s="5" t="inlineStr">
        <x:is>
          <x:t xml:space="preserve">None</x:t>
        </x:is>
      </x:c>
      <x:c r="N45" s="5" t="inlineStr">
        <x:is>
          <x:t xml:space="preserve">Requires BP &gt;=2.2x target; still forced death</x:t>
        </x:is>
      </x:c>
      <x:c r="O45" s="5" t="inlineStr">
        <x:is>
          <x:t xml:space="preserve">Combat/KiSkills/Hakai.dm</x:t>
        </x:is>
      </x:c>
    </x:row>
    <x:row r="46">
      <x:c r="A46" t="inlineStr">
        <x:is>
          <x:t xml:space="preserve">Planet Destroy</x:t>
        </x:is>
      </x:c>
      <x:c r="B46" s="5" t="inlineStr">
        <x:is>
          <x:t xml:space="preserve">/obj/Planet_Destroy</x:t>
        </x:is>
      </x:c>
      <x:c r="C46" t="inlineStr">
        <x:is>
          <x:t xml:space="preserve">Learnable/granted</x:t>
        </x:is>
      </x:c>
      <x:c r="D46" t="inlineStr">
        <x:is>
          <x:t xml:space="preserve">World Ki hazard</x:t>
        </x:is>
      </x:c>
      <x:c r="E46">
        <x:v>2</x:v>
      </x:c>
      <x:c r="F46">
        <x:v>10</x:v>
      </x:c>
      <x:c r="G46">
        <x:v>0</x:v>
      </x:c>
      <x:c r="H46" t="inlineStr">
        <x:is>
          <x:t xml:space="preserve">Radius 2 events</x:t>
        </x:is>
      </x:c>
      <x:c r="I46">
        <x:v>0</x:v>
      </x:c>
      <x:c r="J46" t="inlineStr">
        <x:is>
          <x:t xml:space="preserve">Planet 21600</x:t>
        </x:is>
      </x:c>
      <x:c r="K46" s="5" t="inlineStr">
        <x:is>
          <x:t xml:space="preserve">70*SD(.3)</x:t>
        </x:is>
      </x:c>
      <x:c r="L46" t="inlineStr">
        <x:is>
          <x:t xml:space="preserve">Planet</x:t>
        </x:is>
      </x:c>
      <x:c r="M46" s="5" t="inlineStr">
        <x:is>
          <x:t xml:space="preserve">None</x:t>
        </x:is>
      </x:c>
      <x:c r="N46" s="5" t="inlineStr">
        <x:is>
          <x:t xml:space="preserve">Shared per-victim hazard budget 20</x:t>
        </x:is>
      </x:c>
      <x:c r="O46" s="5" t="inlineStr">
        <x:is>
          <x:t xml:space="preserve">WorldMechanics/PlanetDestroy.dm</x:t>
        </x:is>
      </x:c>
    </x:row>
    <x:row r="47">
      <x:c r="A47" t="str">
        <x:v>Dragon Nova</x:v>
      </x:c>
      <x:c r="B47" t="str">
        <x:v>/obj/Attacks/TenkaichiSpecialStyle/ChargedProjectile/DragonNova</x:v>
      </x:c>
      <x:c r="C47" t="str">
        <x:v>Test package</x:v>
      </x:c>
      <x:c r="D47" t="str">
        <x:v>Ki</x:v>
      </x:c>
      <x:c r="E47" t="n">
        <x:v>12</x:v>
      </x:c>
      <x:c r="F47" t="n">
        <x:v>2</x:v>
      </x:c>
      <x:c r="G47" t="n">
        <x:v>0</x:v>
      </x:c>
      <x:c r="H47" t="n">
        <x:v>4</x:v>
      </x:c>
      <x:c r="I47" t="n">
        <x:v>200</x:v>
      </x:c>
      <x:c r="J47" t="n">
        <x:v>14</x:v>
      </x:c>
      <x:c r="K47" t="str">
        <x:v>2.4s charge</x:v>
      </x:c>
      <x:c r="L47" t="n">
        <x:v>40</x:v>
      </x:c>
      <x:c r="M47" t="str">
        <x:v>None</x:v>
      </x:c>
      <x:c r="N47" t="str">
        <x:v>Direct plus equal splash; budget cap 24</x:v>
      </x:c>
      <x:c r="O47" t="str">
        <x:v>Combat/TenkaichiSpecialStyles.dm</x:v>
      </x:c>
    </x:row>
    <x:row r="48">
      <x:c r="A48" t="str">
        <x:v>Sky Break</x:v>
      </x:c>
      <x:c r="B48" t="str">
        <x:v>/obj/Attacks/TenkaichiSpecialStyle/ChargedProjectile/SkyBreak</x:v>
      </x:c>
      <x:c r="C48" t="str">
        <x:v>Test package</x:v>
      </x:c>
      <x:c r="D48" t="str">
        <x:v>Physical</x:v>
      </x:c>
      <x:c r="E48" t="n">
        <x:v>8</x:v>
      </x:c>
      <x:c r="F48" t="n">
        <x:v>2</x:v>
      </x:c>
      <x:c r="G48" t="n">
        <x:v>0</x:v>
      </x:c>
      <x:c r="H48" t="n">
        <x:v>2</x:v>
      </x:c>
      <x:c r="I48" t="n">
        <x:v>180</x:v>
      </x:c>
      <x:c r="J48" t="n">
        <x:v>13</x:v>
      </x:c>
      <x:c r="K48" t="str">
        <x:v>1.6s charge</x:v>
      </x:c>
      <x:c r="L48" t="n">
        <x:v>40</x:v>
      </x:c>
      <x:c r="M48" t="str">
        <x:v>None</x:v>
      </x:c>
      <x:c r="N48" t="str">
        <x:v>Strength-scaled direct plus splash; weapon required; budget cap 16</x:v>
      </x:c>
      <x:c r="O48" t="str">
        <x:v>Combat/TenkaichiSpecialStyles.dm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customWidth="1"/>
    <x:col min="2" max="2" width="18" customWidth="1"/>
    <x:col min="3" max="3" width="12" customWidth="1"/>
    <x:col min="4" max="4" width="10" customWidth="1"/>
    <x:col min="5" max="5" width="12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5" customWidth="1"/>
    <x:col min="11" max="11" width="18" customWidth="1"/>
    <x:col min="12" max="12" width="18" customWidth="1"/>
    <x:col min="13" max="13" width="18" customWidth="1"/>
    <x:col min="14" max="14" width="18" customWidth="1"/>
  </x:cols>
  <x:sheetData>
    <x:row r="1">
      <x:c r="A1" s="2" t="inlineStr">
        <x:is>
          <x:t xml:space="preserve">Standardized Damage Calculator</x:t>
        </x:is>
      </x:c>
      <x:c r="B1" s="2" t="inlineStr">
        <x:is>
          <x:t xml:space="preserve">Uses Combatants rows 4-5 and Settings constants. Custom formulas remain in Skill Catalog.</x:t>
        </x:is>
      </x:c>
    </x:row>
    <x:row r="2">
      <x:c r="A2" s="6" t="inlineStr">
        <x:is>
          <x:t xml:space="preserve">Outputs exclude dodge/shield/safezone and situational rear/KO/one-shot modifiers.</x:t>
        </x:is>
      </x:c>
    </x:row>
    <x:row r="3">
      <x:c r="A3" s="1" t="inlineStr">
        <x:is>
          <x:t xml:space="preserve">Skill</x:t>
        </x:is>
      </x:c>
      <x:c r="B3" s="1" t="inlineStr">
        <x:is>
          <x:t xml:space="preserve">Model</x:t>
        </x:is>
      </x:c>
      <x:c r="C3" s="1" t="inlineStr">
        <x:is>
          <x:t xml:space="preserve">Factor</x:t>
        </x:is>
      </x:c>
      <x:c r="D3" s="1" t="inlineStr">
        <x:is>
          <x:t xml:space="preserve">Hits</x:t>
        </x:is>
      </x:c>
      <x:c r="E3" s="1" t="inlineStr">
        <x:is>
          <x:t xml:space="preserve">MoveDelay</x:t>
        </x:is>
      </x:c>
      <x:c r="F3" s="1" t="inlineStr">
        <x:is>
          <x:t xml:space="preserve">BP Ratio Term</x:t>
        </x:is>
      </x:c>
      <x:c r="G3" s="1" t="inlineStr">
        <x:is>
          <x:t xml:space="preserve">Stat Ratio Term</x:t>
        </x:is>
      </x:c>
      <x:c r="H3" s="1" t="inlineStr">
        <x:is>
          <x:t xml:space="preserve">Off/Def Term</x:t>
        </x:is>
      </x:c>
      <x:c r="I3" s="1" t="inlineStr">
        <x:is>
          <x:t xml:space="preserve">Segment %</x:t>
        </x:is>
      </x:c>
      <x:c r="J3" s="1" t="inlineStr">
        <x:is>
          <x:t xml:space="preserve">Per Hit</x:t>
        </x:is>
      </x:c>
      <x:c r="K3" s="1" t="inlineStr">
        <x:is>
          <x:t xml:space="preserve">Raw Total</x:t>
        </x:is>
      </x:c>
      <x:c r="L3" s="1" t="inlineStr">
        <x:is>
          <x:t xml:space="preserve">Melee Crit %</x:t>
        </x:is>
      </x:c>
      <x:c r="M3" s="1" t="inlineStr">
        <x:is>
          <x:t xml:space="preserve">Expected Total</x:t>
        </x:is>
      </x:c>
      <x:c r="N3" s="1" t="inlineStr">
        <x:is>
          <x:t xml:space="preserve">Notes</x:t>
        </x:is>
      </x:c>
    </x:row>
    <x:row r="4">
      <x:c r="A4" t="inlineStr">
        <x:is>
          <x:t xml:space="preserve">Manual Attack</x:t>
        </x:is>
      </x:c>
      <x:c r="B4" t="inlineStr">
        <x:is>
          <x:t xml:space="preserve">Physical</x:t>
        </x:is>
      </x:c>
      <x:c r="C4" s="3">
        <x:v>2.5</x:v>
      </x:c>
      <x:c r="D4" s="3">
        <x:v>1</x:v>
      </x:c>
      <x:c r="E4" s="3">
        <x:v>0</x:v>
      </x:c>
      <x:c r="F4" s="4" t="n">
        <x:f>POWER(Combatants!$E$4/Combatants!$E$5,Settings!$B$6)</x:f>
        <x:v>1</x:v>
      </x:c>
      <x:c r="G4" s="4" t="n">
        <x:f>IF(B4="Physical",POWER(2*Combatants!$H$4/(Combatants!$H$4+Combatants!$I$5),Settings!$B$7),POWER(2*Combatants!$J$4/(Combatants!$J$4+Combatants!$K$5),Settings!$B$7))</x:f>
        <x:v>1</x:v>
      </x:c>
      <x:c r="H4" s="4" t="n">
        <x:f>1</x:f>
        <x:v>1</x:v>
      </x:c>
      <x:c r="I4" s="4" t="n">
        <x:f>0</x:f>
        <x:v>0</x:v>
      </x:c>
      <x:c r="J4" s="4" t="n">
        <x:f>C4*F4*G4*Combatants!$O$5</x:f>
        <x:v>2.5</x:v>
      </x:c>
      <x:c r="K4" s="4" t="n">
        <x:f>J4*D4</x:f>
        <x:v>2.5</x:v>
      </x:c>
      <x:c r="L4" s="4" t="n">
        <x:f>0</x:f>
        <x:v>0</x:v>
      </x:c>
      <x:c r="M4" s="4" t="n">
        <x:f>K4</x:f>
        <x:v>2.5</x:v>
      </x:c>
      <x:c r="N4" s="5" t="inlineStr">
        <x:is>
          <x:t xml:space="preserve">Before rear/critical</x:t>
        </x:is>
      </x:c>
    </x:row>
    <x:row r="5">
      <x:c r="A5" t="inlineStr">
        <x:is>
          <x:t xml:space="preserve">Lunge</x:t>
        </x:is>
      </x:c>
      <x:c r="B5" t="inlineStr">
        <x:is>
          <x:t xml:space="preserve">Physical</x:t>
        </x:is>
      </x:c>
      <x:c r="C5" s="3">
        <x:v>5</x:v>
      </x:c>
      <x:c r="D5" s="3">
        <x:v>1</x:v>
      </x:c>
      <x:c r="E5" s="3">
        <x:v>0</x:v>
      </x:c>
      <x:c r="F5" s="4" t="n">
        <x:f>POWER(Combatants!$E$4/Combatants!$E$5,Settings!$B$6)</x:f>
        <x:v>1</x:v>
      </x:c>
      <x:c r="G5" s="4" t="n">
        <x:f>IF(B5="Physical",POWER(2*Combatants!$H$4/(Combatants!$H$4+Combatants!$I$5),Settings!$B$7),POWER(2*Combatants!$J$4/(Combatants!$J$4+Combatants!$K$5),Settings!$B$7))</x:f>
        <x:v>1</x:v>
      </x:c>
      <x:c r="H5" s="4" t="n">
        <x:f>1</x:f>
        <x:v>1</x:v>
      </x:c>
      <x:c r="I5" s="4" t="n">
        <x:f>0</x:f>
        <x:v>0</x:v>
      </x:c>
      <x:c r="J5" s="4" t="n">
        <x:f>C5*F5*G5*Combatants!$O$5</x:f>
        <x:v>5</x:v>
      </x:c>
      <x:c r="K5" s="4" t="n">
        <x:f>J5*D5</x:f>
        <x:v>5</x:v>
      </x:c>
      <x:c r="L5" s="4" t="n">
        <x:f>0</x:f>
        <x:v>0</x:v>
      </x:c>
      <x:c r="M5" s="4" t="n">
        <x:f>K5</x:f>
        <x:v>5</x:v>
      </x:c>
      <x:c r="N5" s="5" t="inlineStr">
        <x:is>
          <x:t xml:space="preserve"/>
        </x:is>
      </x:c>
    </x:row>
    <x:row r="6">
      <x:c r="A6" t="inlineStr">
        <x:is>
          <x:t xml:space="preserve">Wolf Fang Fist</x:t>
        </x:is>
      </x:c>
      <x:c r="B6" t="inlineStr">
        <x:is>
          <x:t xml:space="preserve">Physical</x:t>
        </x:is>
      </x:c>
      <x:c r="C6" s="3">
        <x:v>1</x:v>
      </x:c>
      <x:c r="D6" s="3">
        <x:v>5</x:v>
      </x:c>
      <x:c r="E6" s="3">
        <x:v>0</x:v>
      </x:c>
      <x:c r="F6" s="4" t="n">
        <x:f>POWER(Combatants!$E$4/Combatants!$E$5,Settings!$B$6)</x:f>
        <x:v>1</x:v>
      </x:c>
      <x:c r="G6" s="4" t="n">
        <x:f>IF(B6="Physical",POWER(2*Combatants!$H$4/(Combatants!$H$4+Combatants!$I$5),Settings!$B$7),POWER(2*Combatants!$J$4/(Combatants!$J$4+Combatants!$K$5),Settings!$B$7))</x:f>
        <x:v>1</x:v>
      </x:c>
      <x:c r="H6" s="4" t="n">
        <x:f>1</x:f>
        <x:v>1</x:v>
      </x:c>
      <x:c r="I6" s="4" t="n">
        <x:f>0</x:f>
        <x:v>0</x:v>
      </x:c>
      <x:c r="J6" s="4" t="n">
        <x:f>C6*F6*G6*Combatants!$O$5</x:f>
        <x:v>1</x:v>
      </x:c>
      <x:c r="K6" s="4" t="n">
        <x:f>J6*D6</x:f>
        <x:v>5</x:v>
      </x:c>
      <x:c r="L6" s="4" t="n">
        <x:f>0</x:f>
        <x:v>0</x:v>
      </x:c>
      <x:c r="M6" s="4" t="n">
        <x:f>K6</x:f>
        <x:v>5</x:v>
      </x:c>
      <x:c r="N6" s="5" t="inlineStr">
        <x:is>
          <x:t xml:space="preserve">5-hit maximum</x:t>
        </x:is>
      </x:c>
    </x:row>
    <x:row r="7">
      <x:c r="A7" t="inlineStr">
        <x:is>
          <x:t xml:space="preserve">Hundred Crack Fist</x:t>
        </x:is>
      </x:c>
      <x:c r="B7" t="inlineStr">
        <x:is>
          <x:t xml:space="preserve">Physical</x:t>
        </x:is>
      </x:c>
      <x:c r="C7" s="3">
        <x:v>0.25</x:v>
      </x:c>
      <x:c r="D7" s="3">
        <x:v>24</x:v>
      </x:c>
      <x:c r="E7" s="3">
        <x:v>0</x:v>
      </x:c>
      <x:c r="F7" s="4" t="n">
        <x:f>POWER(Combatants!$E$4/Combatants!$E$5,Settings!$B$6)</x:f>
        <x:v>1</x:v>
      </x:c>
      <x:c r="G7" s="4" t="n">
        <x:f>IF(B7="Physical",POWER(2*Combatants!$H$4/(Combatants!$H$4+Combatants!$I$5),Settings!$B$7),POWER(2*Combatants!$J$4/(Combatants!$J$4+Combatants!$K$5),Settings!$B$7))</x:f>
        <x:v>1</x:v>
      </x:c>
      <x:c r="H7" s="4" t="n">
        <x:f>1</x:f>
        <x:v>1</x:v>
      </x:c>
      <x:c r="I7" s="4" t="n">
        <x:f>0</x:f>
        <x:v>0</x:v>
      </x:c>
      <x:c r="J7" s="4" t="n">
        <x:f>C7*F7*G7*Combatants!$O$5</x:f>
        <x:v>0.25</x:v>
      </x:c>
      <x:c r="K7" s="4" t="n">
        <x:f>J7*D7</x:f>
        <x:v>6</x:v>
      </x:c>
      <x:c r="L7" s="4" t="n">
        <x:f>0</x:f>
        <x:v>0</x:v>
      </x:c>
      <x:c r="M7" s="4" t="n">
        <x:f>K7</x:f>
        <x:v>6</x:v>
      </x:c>
      <x:c r="N7" s="5" t="inlineStr">
        <x:is>
          <x:t xml:space="preserve">Exact sequence</x:t>
        </x:is>
      </x:c>
    </x:row>
    <x:row r="8">
      <x:c r="A8" t="inlineStr">
        <x:is>
          <x:t xml:space="preserve">Rock Throw - Powerful</x:t>
        </x:is>
      </x:c>
      <x:c r="B8" t="inlineStr">
        <x:is>
          <x:t xml:space="preserve">Physical</x:t>
        </x:is>
      </x:c>
      <x:c r="C8" s="3" t="n">
        <x:v>3.5</x:v>
      </x:c>
      <x:c r="D8" s="3">
        <x:v>1</x:v>
      </x:c>
      <x:c r="E8" s="3">
        <x:v>0</x:v>
      </x:c>
      <x:c r="F8" s="4" t="n">
        <x:f>POWER(Combatants!$E$4/Combatants!$E$5,Settings!$B$6)</x:f>
        <x:v>1</x:v>
      </x:c>
      <x:c r="G8" s="4" t="n">
        <x:f>IF(B8="Physical",POWER(2*Combatants!$H$4/(Combatants!$H$4+Combatants!$I$5),Settings!$B$7),POWER(2*Combatants!$J$4/(Combatants!$J$4+Combatants!$K$5),Settings!$B$7))</x:f>
        <x:v>1</x:v>
      </x:c>
      <x:c r="H8" s="4" t="n">
        <x:f>1</x:f>
        <x:v>1</x:v>
      </x:c>
      <x:c r="I8" s="4" t="n">
        <x:f>0</x:f>
        <x:v>0</x:v>
      </x:c>
      <x:c r="J8" s="4" t="n">
        <x:f>C8*F8*G8*Combatants!$O$5</x:f>
        <x:v>3.5</x:v>
      </x:c>
      <x:c r="K8" s="4" t="n">
        <x:f>J8*D8</x:f>
        <x:v>3.5</x:v>
      </x:c>
      <x:c r="L8" s="4" t="n">
        <x:f>0</x:f>
        <x:v>0</x:v>
      </x:c>
      <x:c r="M8" s="4" t="n">
        <x:f>K8</x:f>
        <x:v>3.5</x:v>
      </x:c>
      <x:c r="N8" s="5" t="inlineStr">
        <x:is>
          <x:t xml:space="preserve"/>
        </x:is>
      </x:c>
    </x:row>
    <x:row r="9">
      <x:c r="A9" t="inlineStr">
        <x:is>
          <x:t xml:space="preserve">Rock Throw - Rapid</x:t>
        </x:is>
      </x:c>
      <x:c r="B9" t="inlineStr">
        <x:is>
          <x:t xml:space="preserve">Physical</x:t>
        </x:is>
      </x:c>
      <x:c r="C9" s="3">
        <x:v>1</x:v>
      </x:c>
      <x:c r="D9" s="3">
        <x:v>1</x:v>
      </x:c>
      <x:c r="E9" s="3">
        <x:v>0</x:v>
      </x:c>
      <x:c r="F9" s="4" t="n">
        <x:f>POWER(Combatants!$E$4/Combatants!$E$5,Settings!$B$6)</x:f>
        <x:v>1</x:v>
      </x:c>
      <x:c r="G9" s="4" t="n">
        <x:f>IF(B9="Physical",POWER(2*Combatants!$H$4/(Combatants!$H$4+Combatants!$I$5),Settings!$B$7),POWER(2*Combatants!$J$4/(Combatants!$J$4+Combatants!$K$5),Settings!$B$7))</x:f>
        <x:v>1</x:v>
      </x:c>
      <x:c r="H9" s="4" t="n">
        <x:f>1</x:f>
        <x:v>1</x:v>
      </x:c>
      <x:c r="I9" s="4" t="n">
        <x:f>0</x:f>
        <x:v>0</x:v>
      </x:c>
      <x:c r="J9" s="4" t="n">
        <x:f>C9*F9*G9*Combatants!$O$5</x:f>
        <x:v>1</x:v>
      </x:c>
      <x:c r="K9" s="4" t="n">
        <x:f>J9*D9</x:f>
        <x:v>1</x:v>
      </x:c>
      <x:c r="L9" s="4" t="n">
        <x:f>0</x:f>
        <x:v>0</x:v>
      </x:c>
      <x:c r="M9" s="4" t="n">
        <x:f>K9</x:f>
        <x:v>1</x:v>
      </x:c>
      <x:c r="N9" s="5" t="inlineStr">
        <x:is>
          <x:t xml:space="preserve"/>
        </x:is>
      </x:c>
    </x:row>
    <x:row r="10">
      <x:c r="A10" t="inlineStr">
        <x:is>
          <x:t xml:space="preserve">Rock Slide</x:t>
        </x:is>
      </x:c>
      <x:c r="B10" t="inlineStr">
        <x:is>
          <x:t xml:space="preserve">Physical</x:t>
        </x:is>
      </x:c>
      <x:c r="C10" s="3" t="n">
        <x:v>0.55</x:v>
      </x:c>
      <x:c r="D10" s="3" t="n">
        <x:v>15</x:v>
      </x:c>
      <x:c r="E10" s="3">
        <x:v>0</x:v>
      </x:c>
      <x:c r="F10" s="4" t="n">
        <x:f>POWER(Combatants!$E$4/Combatants!$E$5,Settings!$B$6)</x:f>
        <x:v>1</x:v>
      </x:c>
      <x:c r="G10" s="4" t="n">
        <x:f>IF(B10="Physical",POWER(2*Combatants!$H$4/(Combatants!$H$4+Combatants!$I$5),Settings!$B$7),POWER(2*Combatants!$J$4/(Combatants!$J$4+Combatants!$K$5),Settings!$B$7))</x:f>
        <x:v>1</x:v>
      </x:c>
      <x:c r="H10" s="4" t="n">
        <x:f>1</x:f>
        <x:v>1</x:v>
      </x:c>
      <x:c r="I10" s="4" t="n">
        <x:f>0</x:f>
        <x:v>0</x:v>
      </x:c>
      <x:c r="J10" s="4" t="n">
        <x:f>C10*F10*G10*Combatants!$O$5</x:f>
        <x:v>0.55</x:v>
      </x:c>
      <x:c r="K10" s="4" t="n">
        <x:f>J10*D10</x:f>
        <x:v>8.25</x:v>
      </x:c>
      <x:c r="L10" s="4" t="n">
        <x:f>0</x:f>
        <x:v>0</x:v>
      </x:c>
      <x:c r="M10" s="4" t="n">
        <x:f>K10</x:f>
        <x:v>8.25</x:v>
      </x:c>
      <x:c r="N10" s="5" t="str">
        <x:v>Maximum 15 hits</x:v>
      </x:c>
    </x:row>
    <x:row r="11">
      <x:c r="A11" t="inlineStr">
        <x:is>
          <x:t xml:space="preserve">Rock Tomb</x:t>
        </x:is>
      </x:c>
      <x:c r="B11" t="inlineStr">
        <x:is>
          <x:t xml:space="preserve">Physical</x:t>
        </x:is>
      </x:c>
      <x:c r="C11" s="3" t="n">
        <x:v>8</x:v>
      </x:c>
      <x:c r="D11" s="3">
        <x:v>1</x:v>
      </x:c>
      <x:c r="E11" s="3">
        <x:v>0</x:v>
      </x:c>
      <x:c r="F11" s="4" t="n">
        <x:f>POWER(Combatants!$E$4/Combatants!$E$5,Settings!$B$6)</x:f>
        <x:v>1</x:v>
      </x:c>
      <x:c r="G11" s="4" t="n">
        <x:f>IF(B11="Physical",POWER(2*Combatants!$H$4/(Combatants!$H$4+Combatants!$I$5),Settings!$B$7),POWER(2*Combatants!$J$4/(Combatants!$J$4+Combatants!$K$5),Settings!$B$7))</x:f>
        <x:v>1</x:v>
      </x:c>
      <x:c r="H11" s="4" t="n">
        <x:f>1</x:f>
        <x:v>1</x:v>
      </x:c>
      <x:c r="I11" s="4" t="n">
        <x:f>0</x:f>
        <x:v>0</x:v>
      </x:c>
      <x:c r="J11" s="4" t="n">
        <x:f>C11*F11*G11*Combatants!$O$5</x:f>
        <x:v>8</x:v>
      </x:c>
      <x:c r="K11" s="4" t="n">
        <x:f>J11*D11</x:f>
        <x:v>8</x:v>
      </x:c>
      <x:c r="L11" s="4" t="n">
        <x:f>0</x:f>
        <x:v>0</x:v>
      </x:c>
      <x:c r="M11" s="4" t="n">
        <x:f>K11</x:f>
        <x:v>8</x:v>
      </x:c>
      <x:c r="N11" s="5" t="inlineStr">
        <x:is>
          <x:t xml:space="preserve">Primary target</x:t>
        </x:is>
      </x:c>
    </x:row>
    <x:row r="12">
      <x:c r="A12" t="inlineStr">
        <x:is>
          <x:t xml:space="preserve">Big Bang Attack</x:t>
        </x:is>
      </x:c>
      <x:c r="B12" t="inlineStr">
        <x:is>
          <x:t xml:space="preserve">Ki</x:t>
        </x:is>
      </x:c>
      <x:c r="C12" s="3">
        <x:v>22</x:v>
      </x:c>
      <x:c r="D12" s="3">
        <x:v>2</x:v>
      </x:c>
      <x:c r="E12" s="3">
        <x:v>0</x:v>
      </x:c>
      <x:c r="F12" s="4" t="n">
        <x:f>POWER(Combatants!$E$4/Combatants!$E$5,Settings!$B$6)</x:f>
        <x:v>1</x:v>
      </x:c>
      <x:c r="G12" s="4" t="n">
        <x:f>IF(B12="Physical",POWER(2*Combatants!$H$4/(Combatants!$H$4+Combatants!$I$5),Settings!$B$7),POWER(2*Combatants!$J$4/(Combatants!$J$4+Combatants!$K$5),Settings!$B$7))</x:f>
        <x:v>1</x:v>
      </x:c>
      <x:c r="H12" s="4" t="n">
        <x:f>1</x:f>
        <x:v>1</x:v>
      </x:c>
      <x:c r="I12" s="4" t="n">
        <x:f>0</x:f>
        <x:v>0</x:v>
      </x:c>
      <x:c r="J12" s="4" t="n">
        <x:f>C12*F12*G12*Combatants!$O$5</x:f>
        <x:v>22</x:v>
      </x:c>
      <x:c r="K12" s="4" t="n">
        <x:f>J12*D12</x:f>
        <x:v>44</x:v>
      </x:c>
      <x:c r="L12" s="4" t="n">
        <x:f>0</x:f>
        <x:v>0</x:v>
      </x:c>
      <x:c r="M12" s="4" t="n">
        <x:f>K12</x:f>
        <x:v>44</x:v>
      </x:c>
      <x:c r="N12" s="5" t="inlineStr">
        <x:is>
          <x:t xml:space="preserve">Direct plus splash</x:t>
        </x:is>
      </x:c>
    </x:row>
    <x:row r="13">
      <x:c r="A13" t="inlineStr">
        <x:is>
          <x:t xml:space="preserve">Charge</x:t>
        </x:is>
      </x:c>
      <x:c r="B13" t="inlineStr">
        <x:is>
          <x:t xml:space="preserve">Ki</x:t>
        </x:is>
      </x:c>
      <x:c r="C13" s="3">
        <x:v>4</x:v>
      </x:c>
      <x:c r="D13" s="3">
        <x:v>2</x:v>
      </x:c>
      <x:c r="E13" s="3">
        <x:v>0</x:v>
      </x:c>
      <x:c r="F13" s="4" t="n">
        <x:f>POWER(Combatants!$E$4/Combatants!$E$5,Settings!$B$6)</x:f>
        <x:v>1</x:v>
      </x:c>
      <x:c r="G13" s="4" t="n">
        <x:f>IF(B13="Physical",POWER(2*Combatants!$H$4/(Combatants!$H$4+Combatants!$I$5),Settings!$B$7),POWER(2*Combatants!$J$4/(Combatants!$J$4+Combatants!$K$5),Settings!$B$7))</x:f>
        <x:v>1</x:v>
      </x:c>
      <x:c r="H13" s="4" t="n">
        <x:f>1</x:f>
        <x:v>1</x:v>
      </x:c>
      <x:c r="I13" s="4" t="n">
        <x:f>0</x:f>
        <x:v>0</x:v>
      </x:c>
      <x:c r="J13" s="4" t="n">
        <x:f>C13*F13*G13*Combatants!$O$5</x:f>
        <x:v>4</x:v>
      </x:c>
      <x:c r="K13" s="4" t="n">
        <x:f>J13*D13</x:f>
        <x:v>8</x:v>
      </x:c>
      <x:c r="L13" s="4" t="n">
        <x:f>0</x:f>
        <x:v>0</x:v>
      </x:c>
      <x:c r="M13" s="4" t="n">
        <x:f>K13</x:f>
        <x:v>8</x:v>
      </x:c>
      <x:c r="N13" s="5" t="inlineStr">
        <x:is>
          <x:t xml:space="preserve">Direct plus splash</x:t>
        </x:is>
      </x:c>
    </x:row>
    <x:row r="14">
      <x:c r="A14" t="inlineStr">
        <x:is>
          <x:t xml:space="preserve">Cyber Charge</x:t>
        </x:is>
      </x:c>
      <x:c r="B14" t="inlineStr">
        <x:is>
          <x:t xml:space="preserve">Ki</x:t>
        </x:is>
      </x:c>
      <x:c r="C14" s="3">
        <x:v>2.5</x:v>
      </x:c>
      <x:c r="D14" s="3">
        <x:v>2</x:v>
      </x:c>
      <x:c r="E14" s="3">
        <x:v>0</x:v>
      </x:c>
      <x:c r="F14" s="4" t="n">
        <x:f>POWER(Combatants!$E$4/Combatants!$E$5,Settings!$B$6)</x:f>
        <x:v>1</x:v>
      </x:c>
      <x:c r="G14" s="4" t="n">
        <x:f>IF(B14="Physical",POWER(2*Combatants!$H$4/(Combatants!$H$4+Combatants!$I$5),Settings!$B$7),POWER(2*Combatants!$J$4/(Combatants!$J$4+Combatants!$K$5),Settings!$B$7))</x:f>
        <x:v>1</x:v>
      </x:c>
      <x:c r="H14" s="4" t="n">
        <x:f>1</x:f>
        <x:v>1</x:v>
      </x:c>
      <x:c r="I14" s="4" t="n">
        <x:f>0</x:f>
        <x:v>0</x:v>
      </x:c>
      <x:c r="J14" s="4" t="n">
        <x:f>C14*F14*G14*Combatants!$O$5</x:f>
        <x:v>2.5</x:v>
      </x:c>
      <x:c r="K14" s="4" t="n">
        <x:f>J14*D14</x:f>
        <x:v>5</x:v>
      </x:c>
      <x:c r="L14" s="4" t="n">
        <x:f>0</x:f>
        <x:v>0</x:v>
      </x:c>
      <x:c r="M14" s="4" t="n">
        <x:f>K14</x:f>
        <x:v>5</x:v>
      </x:c>
      <x:c r="N14" s="5" t="inlineStr">
        <x:is>
          <x:t xml:space="preserve">Direct plus splash</x:t>
        </x:is>
      </x:c>
    </x:row>
    <x:row r="15">
      <x:c r="A15" t="inlineStr">
        <x:is>
          <x:t xml:space="preserve">Kienzan</x:t>
        </x:is>
      </x:c>
      <x:c r="B15" t="inlineStr">
        <x:is>
          <x:t xml:space="preserve">Ki</x:t>
        </x:is>
      </x:c>
      <x:c r="C15" s="3">
        <x:v>6</x:v>
      </x:c>
      <x:c r="D15" s="3">
        <x:v>1</x:v>
      </x:c>
      <x:c r="E15" s="3">
        <x:v>0</x:v>
      </x:c>
      <x:c r="F15" s="4" t="n">
        <x:f>POWER(Combatants!$E$4/Combatants!$E$5,Settings!$B$6)</x:f>
        <x:v>1</x:v>
      </x:c>
      <x:c r="G15" s="4" t="n">
        <x:f>IF(B15="Physical",POWER(2*Combatants!$H$4/(Combatants!$H$4+Combatants!$I$5),Settings!$B$7),POWER(2*Combatants!$J$4/(Combatants!$J$4+Combatants!$K$5),Settings!$B$7))</x:f>
        <x:v>1</x:v>
      </x:c>
      <x:c r="H15" s="4" t="n">
        <x:f>1</x:f>
        <x:v>1</x:v>
      </x:c>
      <x:c r="I15" s="4" t="n">
        <x:f>0</x:f>
        <x:v>0</x:v>
      </x:c>
      <x:c r="J15" s="4" t="n">
        <x:f>C15*F15*G15*Combatants!$O$5</x:f>
        <x:v>6</x:v>
      </x:c>
      <x:c r="K15" s="4" t="n">
        <x:f>J15*D15</x:f>
        <x:v>6</x:v>
      </x:c>
      <x:c r="L15" s="4" t="n">
        <x:f>0</x:f>
        <x:v>0</x:v>
      </x:c>
      <x:c r="M15" s="4" t="n">
        <x:f>K15</x:f>
        <x:v>6</x:v>
      </x:c>
      <x:c r="N15" s="5" t="inlineStr">
        <x:is>
          <x:t xml:space="preserve">Owner-immune</x:t>
        </x:is>
      </x:c>
    </x:row>
    <x:row r="16">
      <x:c r="A16" t="inlineStr">
        <x:is>
          <x:t xml:space="preserve">Sokidan</x:t>
        </x:is>
      </x:c>
      <x:c r="B16" t="inlineStr">
        <x:is>
          <x:t xml:space="preserve">Ki</x:t>
        </x:is>
      </x:c>
      <x:c r="C16" s="3">
        <x:v>3.5</x:v>
      </x:c>
      <x:c r="D16" s="3">
        <x:v>2</x:v>
      </x:c>
      <x:c r="E16" s="3">
        <x:v>0</x:v>
      </x:c>
      <x:c r="F16" s="4" t="n">
        <x:f>POWER(Combatants!$E$4/Combatants!$E$5,Settings!$B$6)</x:f>
        <x:v>1</x:v>
      </x:c>
      <x:c r="G16" s="4" t="n">
        <x:f>IF(B16="Physical",POWER(2*Combatants!$H$4/(Combatants!$H$4+Combatants!$I$5),Settings!$B$7),POWER(2*Combatants!$J$4/(Combatants!$J$4+Combatants!$K$5),Settings!$B$7))</x:f>
        <x:v>1</x:v>
      </x:c>
      <x:c r="H16" s="4" t="n">
        <x:f>1</x:f>
        <x:v>1</x:v>
      </x:c>
      <x:c r="I16" s="4" t="n">
        <x:f>0</x:f>
        <x:v>0</x:v>
      </x:c>
      <x:c r="J16" s="4" t="n">
        <x:f>C16*F16*G16*Combatants!$O$5</x:f>
        <x:v>3.5</x:v>
      </x:c>
      <x:c r="K16" s="4" t="n">
        <x:f>J16*D16</x:f>
        <x:v>7</x:v>
      </x:c>
      <x:c r="L16" s="4" t="n">
        <x:f>0</x:f>
        <x:v>0</x:v>
      </x:c>
      <x:c r="M16" s="4" t="n">
        <x:f>K16</x:f>
        <x:v>7</x:v>
      </x:c>
      <x:c r="N16" s="5" t="inlineStr">
        <x:is>
          <x:t xml:space="preserve">Direct plus splash; owner-immune</x:t>
        </x:is>
      </x:c>
    </x:row>
    <x:row r="17">
      <x:c r="A17" t="inlineStr">
        <x:is>
          <x:t xml:space="preserve">Spin Blast</x:t>
        </x:is>
      </x:c>
      <x:c r="B17" t="inlineStr">
        <x:is>
          <x:t xml:space="preserve">Ki</x:t>
        </x:is>
      </x:c>
      <x:c r="C17" s="3">
        <x:v>0.5</x:v>
      </x:c>
      <x:c r="D17" s="3">
        <x:v>4</x:v>
      </x:c>
      <x:c r="E17" s="3">
        <x:v>0</x:v>
      </x:c>
      <x:c r="F17" s="4" t="n">
        <x:f>POWER(Combatants!$E$4/Combatants!$E$5,Settings!$B$6)</x:f>
        <x:v>1</x:v>
      </x:c>
      <x:c r="G17" s="4" t="n">
        <x:f>IF(B17="Physical",POWER(2*Combatants!$H$4/(Combatants!$H$4+Combatants!$I$5),Settings!$B$7),POWER(2*Combatants!$J$4/(Combatants!$J$4+Combatants!$K$5),Settings!$B$7))</x:f>
        <x:v>1</x:v>
      </x:c>
      <x:c r="H17" s="4" t="n">
        <x:f>1</x:f>
        <x:v>1</x:v>
      </x:c>
      <x:c r="I17" s="4" t="n">
        <x:f>0</x:f>
        <x:v>0</x:v>
      </x:c>
      <x:c r="J17" s="4" t="n">
        <x:f>C17*F17*G17*Combatants!$O$5</x:f>
        <x:v>0.5</x:v>
      </x:c>
      <x:c r="K17" s="4" t="n">
        <x:f>J17*D17</x:f>
        <x:v>2</x:v>
      </x:c>
      <x:c r="L17" s="4" t="n">
        <x:f>0</x:f>
        <x:v>0</x:v>
      </x:c>
      <x:c r="M17" s="4" t="n">
        <x:f>K17</x:f>
        <x:v>2</x:v>
      </x:c>
      <x:c r="N17" s="5" t="inlineStr">
        <x:is>
          <x:t xml:space="preserve">Direct only</x:t>
        </x:is>
      </x:c>
    </x:row>
    <x:row r="18">
      <x:c r="A18" t="inlineStr">
        <x:is>
          <x:t xml:space="preserve">Makosen</x:t>
        </x:is>
      </x:c>
      <x:c r="B18" t="inlineStr">
        <x:is>
          <x:t xml:space="preserve">Ki</x:t>
        </x:is>
      </x:c>
      <x:c r="C18" s="3">
        <x:v>0.4</x:v>
      </x:c>
      <x:c r="D18" s="3">
        <x:v>20</x:v>
      </x:c>
      <x:c r="E18" s="3">
        <x:v>0</x:v>
      </x:c>
      <x:c r="F18" s="4" t="n">
        <x:f>POWER(Combatants!$E$4/Combatants!$E$5,Settings!$B$6)</x:f>
        <x:v>1</x:v>
      </x:c>
      <x:c r="G18" s="4" t="n">
        <x:f>IF(B18="Physical",POWER(2*Combatants!$H$4/(Combatants!$H$4+Combatants!$I$5),Settings!$B$7),POWER(2*Combatants!$J$4/(Combatants!$J$4+Combatants!$K$5),Settings!$B$7))</x:f>
        <x:v>1</x:v>
      </x:c>
      <x:c r="H18" s="4" t="n">
        <x:f>1</x:f>
        <x:v>1</x:v>
      </x:c>
      <x:c r="I18" s="4" t="n">
        <x:f>0</x:f>
        <x:v>0</x:v>
      </x:c>
      <x:c r="J18" s="4" t="n">
        <x:f>C18*F18*G18*Combatants!$O$5</x:f>
        <x:v>0.4</x:v>
      </x:c>
      <x:c r="K18" s="4" t="n">
        <x:f>J18*D18</x:f>
        <x:v>8</x:v>
      </x:c>
      <x:c r="L18" s="4" t="n">
        <x:f>0</x:f>
        <x:v>0</x:v>
      </x:c>
      <x:c r="M18" s="4" t="n">
        <x:f>K18</x:f>
        <x:v>8</x:v>
      </x:c>
      <x:c r="N18" s="5" t="inlineStr">
        <x:is>
          <x:t xml:space="preserve">Emission cap</x:t>
        </x:is>
      </x:c>
    </x:row>
    <x:row r="19">
      <x:c r="A19" t="inlineStr">
        <x:is>
          <x:t xml:space="preserve">Scatter Shot</x:t>
        </x:is>
      </x:c>
      <x:c r="B19" t="inlineStr">
        <x:is>
          <x:t xml:space="preserve">Ki</x:t>
        </x:is>
      </x:c>
      <x:c r="C19" s="3">
        <x:v>0.3</x:v>
      </x:c>
      <x:c r="D19" s="3">
        <x:v>40</x:v>
      </x:c>
      <x:c r="E19" s="3">
        <x:v>0</x:v>
      </x:c>
      <x:c r="F19" s="4" t="n">
        <x:f>POWER(Combatants!$E$4/Combatants!$E$5,Settings!$B$6)</x:f>
        <x:v>1</x:v>
      </x:c>
      <x:c r="G19" s="4" t="n">
        <x:f>IF(B19="Physical",POWER(2*Combatants!$H$4/(Combatants!$H$4+Combatants!$I$5),Settings!$B$7),POWER(2*Combatants!$J$4/(Combatants!$J$4+Combatants!$K$5),Settings!$B$7))</x:f>
        <x:v>1</x:v>
      </x:c>
      <x:c r="H19" s="4" t="n">
        <x:f>1</x:f>
        <x:v>1</x:v>
      </x:c>
      <x:c r="I19" s="4" t="n">
        <x:f>0</x:f>
        <x:v>0</x:v>
      </x:c>
      <x:c r="J19" s="4" t="n">
        <x:f>C19*F19*G19*Combatants!$O$5</x:f>
        <x:v>0.3</x:v>
      </x:c>
      <x:c r="K19" s="4" t="n">
        <x:f>J19*D19</x:f>
        <x:v>12</x:v>
      </x:c>
      <x:c r="L19" s="4" t="n">
        <x:f>0</x:f>
        <x:v>0</x:v>
      </x:c>
      <x:c r="M19" s="4" t="n">
        <x:f>K19</x:f>
        <x:v>12</x:v>
      </x:c>
      <x:c r="N19" s="5" t="inlineStr">
        <x:is>
          <x:t xml:space="preserve">Budget caps actual total at 18</x:t>
        </x:is>
      </x:c>
    </x:row>
    <x:row r="20">
      <x:c r="A20" t="inlineStr">
        <x:is>
          <x:t xml:space="preserve">Buster Barrage</x:t>
        </x:is>
      </x:c>
      <x:c r="B20" t="inlineStr">
        <x:is>
          <x:t xml:space="preserve">Ki</x:t>
        </x:is>
      </x:c>
      <x:c r="C20" s="3">
        <x:v>0.4</x:v>
      </x:c>
      <x:c r="D20" s="3">
        <x:v>20</x:v>
      </x:c>
      <x:c r="E20" s="3">
        <x:v>0</x:v>
      </x:c>
      <x:c r="F20" s="4" t="n">
        <x:f>POWER(Combatants!$E$4/Combatants!$E$5,Settings!$B$6)</x:f>
        <x:v>1</x:v>
      </x:c>
      <x:c r="G20" s="4" t="n">
        <x:f>IF(B20="Physical",POWER(2*Combatants!$H$4/(Combatants!$H$4+Combatants!$I$5),Settings!$B$7),POWER(2*Combatants!$J$4/(Combatants!$J$4+Combatants!$K$5),Settings!$B$7))</x:f>
        <x:v>1</x:v>
      </x:c>
      <x:c r="H20" s="4" t="n">
        <x:f>1</x:f>
        <x:v>1</x:v>
      </x:c>
      <x:c r="I20" s="4" t="n">
        <x:f>0</x:f>
        <x:v>0</x:v>
      </x:c>
      <x:c r="J20" s="4" t="n">
        <x:f>C20*F20*G20*Combatants!$O$5</x:f>
        <x:v>0.4</x:v>
      </x:c>
      <x:c r="K20" s="4" t="n">
        <x:f>J20*D20</x:f>
        <x:v>8</x:v>
      </x:c>
      <x:c r="L20" s="4" t="n">
        <x:f>0</x:f>
        <x:v>0</x:v>
      </x:c>
      <x:c r="M20" s="4" t="n">
        <x:f>K20</x:f>
        <x:v>8</x:v>
      </x:c>
      <x:c r="N20" s="5" t="inlineStr">
        <x:is>
          <x:t xml:space="preserve">Budget caps actual total at 16</x:t>
        </x:is>
      </x:c>
    </x:row>
    <x:row r="21">
      <x:c r="A21" t="inlineStr">
        <x:is>
          <x:t xml:space="preserve">Attack Barrier</x:t>
        </x:is>
      </x:c>
      <x:c r="B21" t="inlineStr">
        <x:is>
          <x:t xml:space="preserve">Ki</x:t>
        </x:is>
      </x:c>
      <x:c r="C21" s="3">
        <x:v>0.2</x:v>
      </x:c>
      <x:c r="D21" s="3">
        <x:v>20</x:v>
      </x:c>
      <x:c r="E21" s="3">
        <x:v>0</x:v>
      </x:c>
      <x:c r="F21" s="4" t="n">
        <x:f>POWER(Combatants!$E$4/Combatants!$E$5,Settings!$B$6)</x:f>
        <x:v>1</x:v>
      </x:c>
      <x:c r="G21" s="4" t="n">
        <x:f>IF(B21="Physical",POWER(2*Combatants!$H$4/(Combatants!$H$4+Combatants!$I$5),Settings!$B$7),POWER(2*Combatants!$J$4/(Combatants!$J$4+Combatants!$K$5),Settings!$B$7))</x:f>
        <x:v>1</x:v>
      </x:c>
      <x:c r="H21" s="4" t="n">
        <x:f>1</x:f>
        <x:v>1</x:v>
      </x:c>
      <x:c r="I21" s="4" t="n">
        <x:f>0</x:f>
        <x:v>0</x:v>
      </x:c>
      <x:c r="J21" s="4" t="n">
        <x:f>C21*F21*G21*Combatants!$O$5</x:f>
        <x:v>0.2</x:v>
      </x:c>
      <x:c r="K21" s="4" t="n">
        <x:f>J21*D21</x:f>
        <x:v>4</x:v>
      </x:c>
      <x:c r="L21" s="4" t="n">
        <x:f>0</x:f>
        <x:v>0</x:v>
      </x:c>
      <x:c r="M21" s="4" t="n">
        <x:f>K21</x:f>
        <x:v>4</x:v>
      </x:c>
      <x:c r="N21" s="5" t="inlineStr">
        <x:is>
          <x:t xml:space="preserve">Emission cap</x:t>
        </x:is>
      </x:c>
    </x:row>
    <x:row r="22">
      <x:c r="A22" t="inlineStr">
        <x:is>
          <x:t xml:space="preserve">Noob Ray</x:t>
        </x:is>
      </x:c>
      <x:c r="B22" t="inlineStr">
        <x:is>
          <x:t xml:space="preserve">Ki</x:t>
        </x:is>
      </x:c>
      <x:c r="C22" s="3">
        <x:v>52</x:v>
      </x:c>
      <x:c r="D22" s="3">
        <x:v>1</x:v>
      </x:c>
      <x:c r="E22" s="3">
        <x:v>0</x:v>
      </x:c>
      <x:c r="F22" s="4" t="n">
        <x:f>POWER(Combatants!$E$4/Combatants!$E$5,Settings!$B$6)</x:f>
        <x:v>1</x:v>
      </x:c>
      <x:c r="G22" s="4" t="n">
        <x:f>IF(B22="Physical",POWER(2*Combatants!$H$4/(Combatants!$H$4+Combatants!$I$5),Settings!$B$7),POWER(2*Combatants!$J$4/(Combatants!$J$4+Combatants!$K$5),Settings!$B$7))</x:f>
        <x:v>1</x:v>
      </x:c>
      <x:c r="H22" s="4" t="n">
        <x:f>1</x:f>
        <x:v>1</x:v>
      </x:c>
      <x:c r="I22" s="4" t="n">
        <x:f>0</x:f>
        <x:v>0</x:v>
      </x:c>
      <x:c r="J22" s="4" t="n">
        <x:f>C22*F22*G22*Combatants!$O$5</x:f>
        <x:v>52</x:v>
      </x:c>
      <x:c r="K22" s="4" t="n">
        <x:f>J22*D22</x:f>
        <x:v>52</x:v>
      </x:c>
      <x:c r="L22" s="4" t="n">
        <x:f>0</x:f>
        <x:v>0</x:v>
      </x:c>
      <x:c r="M22" s="4" t="n">
        <x:f>K22</x:f>
        <x:v>52</x:v>
      </x:c>
      <x:c r="N22" s="5" t="inlineStr">
        <x:is>
          <x:t xml:space="preserve">Cumulative beam factor</x:t>
        </x:is>
      </x:c>
    </x:row>
    <x:row r="23">
      <x:c r="A23" t="inlineStr">
        <x:is>
          <x:t xml:space="preserve">Cyber Laser</x:t>
        </x:is>
      </x:c>
      <x:c r="B23" t="inlineStr">
        <x:is>
          <x:t xml:space="preserve">Ki</x:t>
        </x:is>
      </x:c>
      <x:c r="C23" s="3">
        <x:v>4</x:v>
      </x:c>
      <x:c r="D23" s="3">
        <x:v>1</x:v>
      </x:c>
      <x:c r="E23" s="3">
        <x:v>0</x:v>
      </x:c>
      <x:c r="F23" s="4" t="n">
        <x:f>POWER(Combatants!$E$4/Combatants!$E$5,Settings!$B$6)</x:f>
        <x:v>1</x:v>
      </x:c>
      <x:c r="G23" s="4" t="n">
        <x:f>IF(B23="Physical",POWER(2*Combatants!$H$4/(Combatants!$H$4+Combatants!$I$5),Settings!$B$7),POWER(2*Combatants!$J$4/(Combatants!$J$4+Combatants!$K$5),Settings!$B$7))</x:f>
        <x:v>1</x:v>
      </x:c>
      <x:c r="H23" s="4" t="n">
        <x:f>1</x:f>
        <x:v>1</x:v>
      </x:c>
      <x:c r="I23" s="4" t="n">
        <x:f>0</x:f>
        <x:v>0</x:v>
      </x:c>
      <x:c r="J23" s="4" t="n">
        <x:f>C23*F23*G23*Combatants!$O$5</x:f>
        <x:v>4</x:v>
      </x:c>
      <x:c r="K23" s="4" t="n">
        <x:f>J23*D23</x:f>
        <x:v>4</x:v>
      </x:c>
      <x:c r="L23" s="4" t="n">
        <x:f>0</x:f>
        <x:v>0</x:v>
      </x:c>
      <x:c r="M23" s="4" t="n">
        <x:f>K23</x:f>
        <x:v>4</x:v>
      </x:c>
      <x:c r="N23" s="5" t="inlineStr">
        <x:is>
          <x:t xml:space="preserve">Cumulative beam factor</x:t>
        </x:is>
      </x:c>
    </x:row>
    <x:row r="24">
      <x:c r="A24" t="inlineStr">
        <x:is>
          <x:t xml:space="preserve">Beam</x:t>
        </x:is>
      </x:c>
      <x:c r="B24" t="inlineStr">
        <x:is>
          <x:t xml:space="preserve">Ki</x:t>
        </x:is>
      </x:c>
      <x:c r="C24" s="3">
        <x:v>3</x:v>
      </x:c>
      <x:c r="D24" s="3">
        <x:v>1</x:v>
      </x:c>
      <x:c r="E24" s="3">
        <x:v>0</x:v>
      </x:c>
      <x:c r="F24" s="4" t="n">
        <x:f>POWER(Combatants!$E$4/Combatants!$E$5,Settings!$B$6)</x:f>
        <x:v>1</x:v>
      </x:c>
      <x:c r="G24" s="4" t="n">
        <x:f>IF(B24="Physical",POWER(2*Combatants!$H$4/(Combatants!$H$4+Combatants!$I$5),Settings!$B$7),POWER(2*Combatants!$J$4/(Combatants!$J$4+Combatants!$K$5),Settings!$B$7))</x:f>
        <x:v>1</x:v>
      </x:c>
      <x:c r="H24" s="4" t="n">
        <x:f>1</x:f>
        <x:v>1</x:v>
      </x:c>
      <x:c r="I24" s="4" t="n">
        <x:f>0</x:f>
        <x:v>0</x:v>
      </x:c>
      <x:c r="J24" s="4" t="n">
        <x:f>C24*F24*G24*Combatants!$O$5</x:f>
        <x:v>3</x:v>
      </x:c>
      <x:c r="K24" s="4" t="n">
        <x:f>J24*D24</x:f>
        <x:v>3</x:v>
      </x:c>
      <x:c r="L24" s="4" t="n">
        <x:f>0</x:f>
        <x:v>0</x:v>
      </x:c>
      <x:c r="M24" s="4" t="n">
        <x:f>K24</x:f>
        <x:v>3</x:v>
      </x:c>
      <x:c r="N24" s="5" t="inlineStr">
        <x:is>
          <x:t xml:space="preserve">Cumulative beam factor</x:t>
        </x:is>
      </x:c>
    </x:row>
    <x:row r="25">
      <x:c r="A25" t="inlineStr">
        <x:is>
          <x:t xml:space="preserve">Death Beam</x:t>
        </x:is>
      </x:c>
      <x:c r="B25" t="inlineStr">
        <x:is>
          <x:t xml:space="preserve">Ki</x:t>
        </x:is>
      </x:c>
      <x:c r="C25" s="3">
        <x:v>3</x:v>
      </x:c>
      <x:c r="D25" s="3">
        <x:v>1</x:v>
      </x:c>
      <x:c r="E25" s="3">
        <x:v>0</x:v>
      </x:c>
      <x:c r="F25" s="4" t="n">
        <x:f>POWER(Combatants!$E$4/Combatants!$E$5,Settings!$B$6)</x:f>
        <x:v>1</x:v>
      </x:c>
      <x:c r="G25" s="4" t="n">
        <x:f>IF(B25="Physical",POWER(2*Combatants!$H$4/(Combatants!$H$4+Combatants!$I$5),Settings!$B$7),POWER(2*Combatants!$J$4/(Combatants!$J$4+Combatants!$K$5),Settings!$B$7))</x:f>
        <x:v>1</x:v>
      </x:c>
      <x:c r="H25" s="4" t="n">
        <x:f>1</x:f>
        <x:v>1</x:v>
      </x:c>
      <x:c r="I25" s="4" t="n">
        <x:f>0</x:f>
        <x:v>0</x:v>
      </x:c>
      <x:c r="J25" s="4" t="n">
        <x:f>C25*F25*G25*Combatants!$O$5</x:f>
        <x:v>3</x:v>
      </x:c>
      <x:c r="K25" s="4" t="n">
        <x:f>J25*D25</x:f>
        <x:v>3</x:v>
      </x:c>
      <x:c r="L25" s="4" t="n">
        <x:f>0</x:f>
        <x:v>0</x:v>
      </x:c>
      <x:c r="M25" s="4" t="n">
        <x:f>K25</x:f>
        <x:v>3</x:v>
      </x:c>
      <x:c r="N25" s="5" t="inlineStr">
        <x:is>
          <x:t xml:space="preserve">Cumulative beam factor</x:t>
        </x:is>
      </x:c>
    </x:row>
    <x:row r="26">
      <x:c r="A26" t="inlineStr">
        <x:is>
          <x:t xml:space="preserve">Makankosappo</x:t>
        </x:is>
      </x:c>
      <x:c r="B26" t="inlineStr">
        <x:is>
          <x:t xml:space="preserve">Ki</x:t>
        </x:is>
      </x:c>
      <x:c r="C26" s="3">
        <x:v>5</x:v>
      </x:c>
      <x:c r="D26" s="3">
        <x:v>1</x:v>
      </x:c>
      <x:c r="E26" s="3">
        <x:v>0</x:v>
      </x:c>
      <x:c r="F26" s="4" t="n">
        <x:f>POWER(Combatants!$E$4/Combatants!$E$5,Settings!$B$6)</x:f>
        <x:v>1</x:v>
      </x:c>
      <x:c r="G26" s="4" t="n">
        <x:f>IF(B26="Physical",POWER(2*Combatants!$H$4/(Combatants!$H$4+Combatants!$I$5),Settings!$B$7),POWER(2*Combatants!$J$4/(Combatants!$J$4+Combatants!$K$5),Settings!$B$7))</x:f>
        <x:v>1</x:v>
      </x:c>
      <x:c r="H26" s="4" t="n">
        <x:f>1</x:f>
        <x:v>1</x:v>
      </x:c>
      <x:c r="I26" s="4" t="n">
        <x:f>0</x:f>
        <x:v>0</x:v>
      </x:c>
      <x:c r="J26" s="4" t="n">
        <x:f>C26*F26*G26*Combatants!$O$5</x:f>
        <x:v>5</x:v>
      </x:c>
      <x:c r="K26" s="4" t="n">
        <x:f>J26*D26</x:f>
        <x:v>5</x:v>
      </x:c>
      <x:c r="L26" s="4" t="n">
        <x:f>0</x:f>
        <x:v>0</x:v>
      </x:c>
      <x:c r="M26" s="4" t="n">
        <x:f>K26</x:f>
        <x:v>5</x:v>
      </x:c>
      <x:c r="N26" s="5" t="inlineStr">
        <x:is>
          <x:t xml:space="preserve">Cumulative beam factor</x:t>
        </x:is>
      </x:c>
    </x:row>
    <x:row r="27">
      <x:c r="A27" t="inlineStr">
        <x:is>
          <x:t xml:space="preserve">Kamehameha</x:t>
        </x:is>
      </x:c>
      <x:c r="B27" t="inlineStr">
        <x:is>
          <x:t xml:space="preserve">Ki</x:t>
        </x:is>
      </x:c>
      <x:c r="C27" s="3">
        <x:v>8</x:v>
      </x:c>
      <x:c r="D27" s="3">
        <x:v>1</x:v>
      </x:c>
      <x:c r="E27" s="3">
        <x:v>0</x:v>
      </x:c>
      <x:c r="F27" s="4" t="n">
        <x:f>POWER(Combatants!$E$4/Combatants!$E$5,Settings!$B$6)</x:f>
        <x:v>1</x:v>
      </x:c>
      <x:c r="G27" s="4" t="n">
        <x:f>IF(B27="Physical",POWER(2*Combatants!$H$4/(Combatants!$H$4+Combatants!$I$5),Settings!$B$7),POWER(2*Combatants!$J$4/(Combatants!$J$4+Combatants!$K$5),Settings!$B$7))</x:f>
        <x:v>1</x:v>
      </x:c>
      <x:c r="H27" s="4" t="n">
        <x:f>1</x:f>
        <x:v>1</x:v>
      </x:c>
      <x:c r="I27" s="4" t="n">
        <x:f>0</x:f>
        <x:v>0</x:v>
      </x:c>
      <x:c r="J27" s="4" t="n">
        <x:f>C27*F27*G27*Combatants!$O$5</x:f>
        <x:v>8</x:v>
      </x:c>
      <x:c r="K27" s="4" t="n">
        <x:f>J27*D27</x:f>
        <x:v>8</x:v>
      </x:c>
      <x:c r="L27" s="4" t="n">
        <x:f>0</x:f>
        <x:v>0</x:v>
      </x:c>
      <x:c r="M27" s="4" t="n">
        <x:f>K27</x:f>
        <x:v>8</x:v>
      </x:c>
      <x:c r="N27" s="5" t="inlineStr">
        <x:is>
          <x:t xml:space="preserve">Cumulative beam factor</x:t>
        </x:is>
      </x:c>
    </x:row>
    <x:row r="28">
      <x:c r="A28" t="inlineStr">
        <x:is>
          <x:t xml:space="preserve">Dodompa</x:t>
        </x:is>
      </x:c>
      <x:c r="B28" t="inlineStr">
        <x:is>
          <x:t xml:space="preserve">Ki</x:t>
        </x:is>
      </x:c>
      <x:c r="C28" s="3">
        <x:v>5</x:v>
      </x:c>
      <x:c r="D28" s="3">
        <x:v>1</x:v>
      </x:c>
      <x:c r="E28" s="3">
        <x:v>0</x:v>
      </x:c>
      <x:c r="F28" s="4" t="n">
        <x:f>POWER(Combatants!$E$4/Combatants!$E$5,Settings!$B$6)</x:f>
        <x:v>1</x:v>
      </x:c>
      <x:c r="G28" s="4" t="n">
        <x:f>IF(B28="Physical",POWER(2*Combatants!$H$4/(Combatants!$H$4+Combatants!$I$5),Settings!$B$7),POWER(2*Combatants!$J$4/(Combatants!$J$4+Combatants!$K$5),Settings!$B$7))</x:f>
        <x:v>1</x:v>
      </x:c>
      <x:c r="H28" s="4" t="n">
        <x:f>1</x:f>
        <x:v>1</x:v>
      </x:c>
      <x:c r="I28" s="4" t="n">
        <x:f>0</x:f>
        <x:v>0</x:v>
      </x:c>
      <x:c r="J28" s="4" t="n">
        <x:f>C28*F28*G28*Combatants!$O$5</x:f>
        <x:v>5</x:v>
      </x:c>
      <x:c r="K28" s="4" t="n">
        <x:f>J28*D28</x:f>
        <x:v>5</x:v>
      </x:c>
      <x:c r="L28" s="4" t="n">
        <x:f>0</x:f>
        <x:v>0</x:v>
      </x:c>
      <x:c r="M28" s="4" t="n">
        <x:f>K28</x:f>
        <x:v>5</x:v>
      </x:c>
      <x:c r="N28" s="5" t="inlineStr">
        <x:is>
          <x:t xml:space="preserve">Cumulative beam factor</x:t>
        </x:is>
      </x:c>
    </x:row>
    <x:row r="29">
      <x:c r="A29" t="inlineStr">
        <x:is>
          <x:t xml:space="preserve">Final Flash</x:t>
        </x:is>
      </x:c>
      <x:c r="B29" t="inlineStr">
        <x:is>
          <x:t xml:space="preserve">Ki</x:t>
        </x:is>
      </x:c>
      <x:c r="C29" s="3">
        <x:v>12</x:v>
      </x:c>
      <x:c r="D29" s="3">
        <x:v>1</x:v>
      </x:c>
      <x:c r="E29" s="3">
        <x:v>0</x:v>
      </x:c>
      <x:c r="F29" s="4" t="n">
        <x:f>POWER(Combatants!$E$4/Combatants!$E$5,Settings!$B$6)</x:f>
        <x:v>1</x:v>
      </x:c>
      <x:c r="G29" s="4" t="n">
        <x:f>IF(B29="Physical",POWER(2*Combatants!$H$4/(Combatants!$H$4+Combatants!$I$5),Settings!$B$7),POWER(2*Combatants!$J$4/(Combatants!$J$4+Combatants!$K$5),Settings!$B$7))</x:f>
        <x:v>1</x:v>
      </x:c>
      <x:c r="H29" s="4" t="n">
        <x:f>1</x:f>
        <x:v>1</x:v>
      </x:c>
      <x:c r="I29" s="4" t="n">
        <x:f>0</x:f>
        <x:v>0</x:v>
      </x:c>
      <x:c r="J29" s="4" t="n">
        <x:f>C29*F29*G29*Combatants!$O$5</x:f>
        <x:v>12</x:v>
      </x:c>
      <x:c r="K29" s="4" t="n">
        <x:f>J29*D29</x:f>
        <x:v>12</x:v>
      </x:c>
      <x:c r="L29" s="4" t="n">
        <x:f>0</x:f>
        <x:v>0</x:v>
      </x:c>
      <x:c r="M29" s="4" t="n">
        <x:f>K29</x:f>
        <x:v>12</x:v>
      </x:c>
      <x:c r="N29" s="5" t="inlineStr">
        <x:is>
          <x:t xml:space="preserve">Cumulative beam factor</x:t>
        </x:is>
      </x:c>
    </x:row>
    <x:row r="30">
      <x:c r="A30" t="inlineStr">
        <x:is>
          <x:t xml:space="preserve">Galick Gun</x:t>
        </x:is>
      </x:c>
      <x:c r="B30" t="inlineStr">
        <x:is>
          <x:t xml:space="preserve">Ki</x:t>
        </x:is>
      </x:c>
      <x:c r="C30" s="3">
        <x:v>7</x:v>
      </x:c>
      <x:c r="D30" s="3">
        <x:v>1</x:v>
      </x:c>
      <x:c r="E30" s="3">
        <x:v>0</x:v>
      </x:c>
      <x:c r="F30" s="4" t="n">
        <x:f>POWER(Combatants!$E$4/Combatants!$E$5,Settings!$B$6)</x:f>
        <x:v>1</x:v>
      </x:c>
      <x:c r="G30" s="4" t="n">
        <x:f>IF(B30="Physical",POWER(2*Combatants!$H$4/(Combatants!$H$4+Combatants!$I$5),Settings!$B$7),POWER(2*Combatants!$J$4/(Combatants!$J$4+Combatants!$K$5),Settings!$B$7))</x:f>
        <x:v>1</x:v>
      </x:c>
      <x:c r="H30" s="4" t="n">
        <x:f>1</x:f>
        <x:v>1</x:v>
      </x:c>
      <x:c r="I30" s="4" t="n">
        <x:f>0</x:f>
        <x:v>0</x:v>
      </x:c>
      <x:c r="J30" s="4" t="n">
        <x:f>C30*F30*G30*Combatants!$O$5</x:f>
        <x:v>7</x:v>
      </x:c>
      <x:c r="K30" s="4" t="n">
        <x:f>J30*D30</x:f>
        <x:v>7</x:v>
      </x:c>
      <x:c r="L30" s="4" t="n">
        <x:f>0</x:f>
        <x:v>0</x:v>
      </x:c>
      <x:c r="M30" s="4" t="n">
        <x:f>K30</x:f>
        <x:v>7</x:v>
      </x:c>
      <x:c r="N30" s="5" t="inlineStr">
        <x:is>
          <x:t xml:space="preserve">Cumulative beam factor</x:t>
        </x:is>
      </x:c>
    </x:row>
    <x:row r="31">
      <x:c r="A31" t="inlineStr">
        <x:is>
          <x:t xml:space="preserve">Masenko</x:t>
        </x:is>
      </x:c>
      <x:c r="B31" t="inlineStr">
        <x:is>
          <x:t xml:space="preserve">Ki</x:t>
        </x:is>
      </x:c>
      <x:c r="C31" s="3">
        <x:v>6</x:v>
      </x:c>
      <x:c r="D31" s="3">
        <x:v>1</x:v>
      </x:c>
      <x:c r="E31" s="3">
        <x:v>0</x:v>
      </x:c>
      <x:c r="F31" s="4" t="n">
        <x:f>POWER(Combatants!$E$4/Combatants!$E$5,Settings!$B$6)</x:f>
        <x:v>1</x:v>
      </x:c>
      <x:c r="G31" s="4" t="n">
        <x:f>IF(B31="Physical",POWER(2*Combatants!$H$4/(Combatants!$H$4+Combatants!$I$5),Settings!$B$7),POWER(2*Combatants!$J$4/(Combatants!$J$4+Combatants!$K$5),Settings!$B$7))</x:f>
        <x:v>1</x:v>
      </x:c>
      <x:c r="H31" s="4" t="n">
        <x:f>1</x:f>
        <x:v>1</x:v>
      </x:c>
      <x:c r="I31" s="4" t="n">
        <x:f>0</x:f>
        <x:v>0</x:v>
      </x:c>
      <x:c r="J31" s="4" t="n">
        <x:f>C31*F31*G31*Combatants!$O$5</x:f>
        <x:v>6</x:v>
      </x:c>
      <x:c r="K31" s="4" t="n">
        <x:f>J31*D31</x:f>
        <x:v>6</x:v>
      </x:c>
      <x:c r="L31" s="4" t="n">
        <x:f>0</x:f>
        <x:v>0</x:v>
      </x:c>
      <x:c r="M31" s="4" t="n">
        <x:f>K31</x:f>
        <x:v>6</x:v>
      </x:c>
      <x:c r="N31" s="5" t="inlineStr">
        <x:is>
          <x:t xml:space="preserve">Cumulative beam factor</x:t>
        </x:is>
      </x:c>
    </x:row>
    <x:row r="32">
      <x:c r="A32" t="str">
        <x:v>Dragon Nova</x:v>
      </x:c>
      <x:c r="B32" t="str">
        <x:v>Ki</x:v>
      </x:c>
      <x:c r="C32" t="n">
        <x:v>12</x:v>
      </x:c>
      <x:c r="D32" t="n">
        <x:v>2</x:v>
      </x:c>
      <x:c r="E32" t="n">
        <x:v>0</x:v>
      </x:c>
      <x:c r="F32" t="n">
        <x:f>POWER(Combatants!$E$4/Combatants!$E$5,Settings!$B$6)</x:f>
        <x:v>1</x:v>
      </x:c>
      <x:c r="G32" t="n">
        <x:f>IF(B32="Physical",POWER(2*Combatants!$H$4/(Combatants!$H$4+Combatants!$I$5),Settings!$B$7),POWER(2*Combatants!$J$4/(Combatants!$J$4+Combatants!$K$5),Settings!$B$7))</x:f>
        <x:v>1</x:v>
      </x:c>
      <x:c r="H32" t="n">
        <x:f>1</x:f>
        <x:v>1</x:v>
      </x:c>
      <x:c r="I32" t="n">
        <x:f>0</x:f>
        <x:v>0</x:v>
      </x:c>
      <x:c r="J32" t="n">
        <x:f>C32*F32*G32*Combatants!$O$5</x:f>
        <x:v>12</x:v>
      </x:c>
      <x:c r="K32" t="n">
        <x:f>J32*D32</x:f>
        <x:v>24</x:v>
      </x:c>
      <x:c r="L32" t="n">
        <x:f>0</x:f>
        <x:v>0</x:v>
      </x:c>
      <x:c r="M32" t="n">
        <x:f>K32</x:f>
        <x:v>24</x:v>
      </x:c>
      <x:c r="N32" t="str">
        <x:v>Direct plus equal splash</x:v>
      </x:c>
    </x:row>
    <x:row r="33">
      <x:c r="A33" t="str">
        <x:v>Sky Break</x:v>
      </x:c>
      <x:c r="B33" t="str">
        <x:v>Physical</x:v>
      </x:c>
      <x:c r="C33" t="n">
        <x:v>8</x:v>
      </x:c>
      <x:c r="D33" t="n">
        <x:v>2</x:v>
      </x:c>
      <x:c r="E33" t="n">
        <x:v>0</x:v>
      </x:c>
      <x:c r="F33" t="n">
        <x:f>POWER(Combatants!$E$4/Combatants!$E$5,Settings!$B$6)</x:f>
        <x:v>1</x:v>
      </x:c>
      <x:c r="G33" t="n">
        <x:f>IF(B33="Physical",POWER(2*Combatants!$H$4/(Combatants!$H$4+Combatants!$I$5),Settings!$B$7),POWER(2*Combatants!$J$4/(Combatants!$J$4+Combatants!$K$5),Settings!$B$7))</x:f>
        <x:v>1</x:v>
      </x:c>
      <x:c r="H33" t="n">
        <x:f>1</x:f>
        <x:v>1</x:v>
      </x:c>
      <x:c r="I33" t="n">
        <x:f>0</x:f>
        <x:v>0</x:v>
      </x:c>
      <x:c r="J33" t="n">
        <x:f>C33*F33*G33*Combatants!$O$5</x:f>
        <x:v>8</x:v>
      </x:c>
      <x:c r="K33" t="n">
        <x:f>J33*D33</x:f>
        <x:v>16</x:v>
      </x:c>
      <x:c r="L33" t="n">
        <x:f>0</x:f>
        <x:v>0</x:v>
      </x:c>
      <x:c r="M33" t="n">
        <x:f>K33</x:f>
        <x:v>16</x:v>
      </x:c>
      <x:c r="N33" t="str">
        <x:v>Strength-scaled direct plus splash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customWidth="1"/>
    <x:col min="2" max="2" width="18" customWidth="1"/>
    <x:col min="3" max="3" width="18" customWidth="1"/>
    <x:col min="4" max="4" width="18" customWidth="1"/>
    <x:col min="5" max="5" width="72" customWidth="1"/>
  </x:cols>
  <x:sheetData>
    <x:row r="1">
      <x:c r="A1" s="2" t="inlineStr">
        <x:is>
          <x:t xml:space="preserve">Validation Scenarios</x:t>
        </x:is>
      </x:c>
      <x:c r="B1" s="2" t="inlineStr">
        <x:is>
          <x:t xml:space="preserve">Equal-BP/equal-stat expected raw values before crit and situational modifiers.</x:t>
        </x:is>
      </x:c>
    </x:row>
    <x:row r="2">
      <x:c r="A2" s="1" t="inlineStr">
        <x:is>
          <x:t xml:space="preserve">Scenario</x:t>
        </x:is>
      </x:c>
      <x:c r="B2" s="1" t="inlineStr">
        <x:is>
          <x:t xml:space="preserve">Expected</x:t>
        </x:is>
      </x:c>
      <x:c r="C2" s="1" t="inlineStr">
        <x:is>
          <x:t xml:space="preserve">Workbook result</x:t>
        </x:is>
      </x:c>
      <x:c r="D2" s="1" t="inlineStr">
        <x:is>
          <x:t xml:space="preserve">Difference</x:t>
        </x:is>
      </x:c>
      <x:c r="E2" s="1" t="inlineStr">
        <x:is>
          <x:t xml:space="preserve">Reason</x:t>
        </x:is>
      </x:c>
    </x:row>
    <x:row r="3">
      <x:c r="A3" t="inlineStr">
        <x:is>
          <x:t xml:space="preserve">Manual Attack equal stats</x:t>
        </x:is>
      </x:c>
      <x:c r="B3">
        <x:v>2.5</x:v>
      </x:c>
      <x:c r="C3" s="4" t="n">
        <x:f>'Damage Calculator'!J4</x:f>
        <x:v>2.5</x:v>
      </x:c>
      <x:c r="D3" s="4" t="n">
        <x:f>C3-B3</x:f>
        <x:v>0</x:v>
      </x:c>
      <x:c r="E3" s="5" t="inlineStr">
        <x:is>
          <x:t xml:space="preserve">Explicit physical factor</x:t>
        </x:is>
      </x:c>
    </x:row>
    <x:row r="4">
      <x:c r="A4" t="inlineStr">
        <x:is>
          <x:t xml:space="preserve">Lunge equal stats</x:t>
        </x:is>
      </x:c>
      <x:c r="B4">
        <x:v>5</x:v>
      </x:c>
      <x:c r="C4" s="4" t="n">
        <x:f>'Damage Calculator'!J5</x:f>
        <x:v>5</x:v>
      </x:c>
      <x:c r="D4" s="4" t="n">
        <x:f>C4-B4</x:f>
        <x:v>0</x:v>
      </x:c>
      <x:c r="E4" s="5" t="inlineStr">
        <x:is>
          <x:t xml:space="preserve">Explicit physical factor</x:t>
        </x:is>
      </x:c>
    </x:row>
    <x:row r="5">
      <x:c r="A5" t="inlineStr">
        <x:is>
          <x:t xml:space="preserve">Wolf Fang per hit</x:t>
        </x:is>
      </x:c>
      <x:c r="B5">
        <x:v>1</x:v>
      </x:c>
      <x:c r="C5" s="4" t="n">
        <x:f>'Damage Calculator'!J6</x:f>
        <x:v>1</x:v>
      </x:c>
      <x:c r="D5" s="4" t="n">
        <x:f>C5-B5</x:f>
        <x:v>0</x:v>
      </x:c>
      <x:c r="E5" s="5" t="inlineStr">
        <x:is>
          <x:t xml:space="preserve">Per-hit factor</x:t>
        </x:is>
      </x:c>
    </x:row>
    <x:row r="6">
      <x:c r="A6" t="inlineStr">
        <x:is>
          <x:t xml:space="preserve">Wolf Fang five hits</x:t>
        </x:is>
      </x:c>
      <x:c r="B6">
        <x:v>5</x:v>
      </x:c>
      <x:c r="C6" s="4" t="n">
        <x:f>'Damage Calculator'!J6*5</x:f>
        <x:v>5</x:v>
      </x:c>
      <x:c r="D6" s="4" t="n">
        <x:f>C6-B6</x:f>
        <x:v>0</x:v>
      </x:c>
      <x:c r="E6" s="5" t="inlineStr">
        <x:is>
          <x:t xml:space="preserve">Per hit x5</x:t>
        </x:is>
      </x:c>
    </x:row>
    <x:row r="7">
      <x:c r="A7" t="inlineStr">
        <x:is>
          <x:t xml:space="preserve">Hundred Crack per hit</x:t>
        </x:is>
      </x:c>
      <x:c r="B7">
        <x:v>0.25</x:v>
      </x:c>
      <x:c r="C7" s="4" t="n">
        <x:f>'Damage Calculator'!J7</x:f>
        <x:v>0.25</x:v>
      </x:c>
      <x:c r="D7" s="4" t="n">
        <x:f>C7-B7</x:f>
        <x:v>0</x:v>
      </x:c>
      <x:c r="E7" s="5" t="inlineStr">
        <x:is>
          <x:t xml:space="preserve">Per-hit factor</x:t>
        </x:is>
      </x:c>
    </x:row>
    <x:row r="8">
      <x:c r="A8" t="inlineStr">
        <x:is>
          <x:t xml:space="preserve">Hundred Crack minimum total</x:t>
        </x:is>
      </x:c>
      <x:c r="B8">
        <x:v>6</x:v>
      </x:c>
      <x:c r="C8" s="4" t="n">
        <x:f>'Damage Calculator'!J7*24</x:f>
        <x:v>6</x:v>
      </x:c>
      <x:c r="D8" s="4" t="n">
        <x:f>C8-B8</x:f>
        <x:v>0</x:v>
      </x:c>
      <x:c r="E8" s="5" t="inlineStr">
        <x:is>
          <x:t xml:space="preserve">Per hit x24</x:t>
        </x:is>
      </x:c>
    </x:row>
    <x:row r="9">
      <x:c r="A9" t="inlineStr">
        <x:is>
          <x:t xml:space="preserve">Rock Throw powerful</x:t>
        </x:is>
      </x:c>
      <x:c r="B9" t="n">
        <x:v>3.5</x:v>
      </x:c>
      <x:c r="C9" s="4" t="n">
        <x:f>'Damage Calculator'!J8</x:f>
        <x:v>3.5</x:v>
      </x:c>
      <x:c r="D9" s="4" t="n">
        <x:f>C9-B9</x:f>
        <x:v>0</x:v>
      </x:c>
      <x:c r="E9" s="5" t="inlineStr">
        <x:is>
          <x:t xml:space="preserve">Explicit physical factor</x:t>
        </x:is>
      </x:c>
    </x:row>
    <x:row r="10">
      <x:c r="A10" t="inlineStr">
        <x:is>
          <x:t xml:space="preserve">Charge direct plus splash</x:t>
        </x:is>
      </x:c>
      <x:c r="B10">
        <x:v>8</x:v>
      </x:c>
      <x:c r="C10" s="4" t="n">
        <x:f>'Damage Calculator'!J13*2</x:f>
        <x:v>8</x:v>
      </x:c>
      <x:c r="D10" s="4" t="n">
        <x:f>C10-B10</x:f>
        <x:v>0</x:v>
      </x:c>
      <x:c r="E10" s="5" t="inlineStr">
        <x:is>
          <x:t xml:space="preserve">4 x2</x:t>
        </x:is>
      </x:c>
    </x:row>
    <x:row r="11">
      <x:c r="A11" t="inlineStr">
        <x:is>
          <x:t xml:space="preserve">Big Bang direct plus splash</x:t>
        </x:is>
      </x:c>
      <x:c r="B11">
        <x:v>44</x:v>
      </x:c>
      <x:c r="C11" s="4" t="n">
        <x:f>'Damage Calculator'!J12*2</x:f>
        <x:v>44</x:v>
      </x:c>
      <x:c r="D11" s="4" t="n">
        <x:f>C11-B11</x:f>
        <x:v>0</x:v>
      </x:c>
      <x:c r="E11" s="5" t="inlineStr">
        <x:is>
          <x:t xml:space="preserve">22 x2</x:t>
        </x:is>
      </x:c>
    </x:row>
    <x:row r="12">
      <x:c r="A12" t="str">
        <x:v>Dragon Nova direct plus splash</x:v>
      </x:c>
      <x:c r="B12" t="n">
        <x:v>24</x:v>
      </x:c>
      <x:c r="C12" t="n">
        <x:f>'Damage Calculator'!J32*2</x:f>
        <x:v>24</x:v>
      </x:c>
      <x:c r="D12" t="n">
        <x:f>C12-B12</x:f>
        <x:v>0</x:v>
      </x:c>
      <x:c r="E12" t="str">
        <x:v>12 x2</x:v>
      </x:c>
    </x:row>
    <x:row r="13">
      <x:c r="A13" t="str">
        <x:v>Sky Break direct plus splash</x:v>
      </x:c>
      <x:c r="B13" t="n">
        <x:v>16</x:v>
      </x:c>
      <x:c r="C13" t="n">
        <x:f>'Damage Calculator'!J33*2</x:f>
        <x:v>16</x:v>
      </x:c>
      <x:c r="D13" t="n">
        <x:f>C13-B13</x:f>
        <x:v>0</x:v>
      </x:c>
      <x:c r="E13" t="str">
        <x:v>8 x2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4" customWidth="1"/>
    <x:col min="2" max="2" width="100" customWidth="1"/>
  </x:cols>
  <x:sheetData>
    <x:row r="1">
      <x:c r="A1" s="2" t="inlineStr">
        <x:is>
          <x:t xml:space="preserve">Primary Source Index</x:t>
        </x:is>
      </x:c>
      <x:c r="B1" s="2" t="inlineStr">
        <x:is>
          <x:t xml:space="preserve">Repository-relative paths and modeled responsibility.</x:t>
        </x:is>
      </x:c>
    </x:row>
    <x:row r="2">
      <x:c r="A2" s="1" t="inlineStr">
        <x:is>
          <x:t xml:space="preserve">Path</x:t>
        </x:is>
      </x:c>
      <x:c r="B2" s="1" t="inlineStr">
        <x:is>
          <x:t xml:space="preserve">Modeled data</x:t>
        </x:is>
      </x:c>
    </x:row>
    <x:row r="3">
      <x:c r="A3" s="5" t="inlineStr">
        <x:is>
          <x:t xml:space="preserve">src/Code/Combat/DamageScaling.dm</x:t>
        </x:is>
      </x:c>
      <x:c r="B3" s="5" t="inlineStr">
        <x:is>
          <x:t xml:space="preserve">Central BP/stat formula and per-target factor budgets</x:t>
        </x:is>
      </x:c>
    </x:row>
    <x:row r="4">
      <x:c r="A4" s="5" t="inlineStr">
        <x:is>
          <x:t xml:space="preserve">src/Code/CoreFunctions/Vars/GlobalCombatSettings.dm</x:t>
        </x:is>
      </x:c>
      <x:c r="B4" s="5" t="inlineStr">
        <x:is>
          <x:t xml:space="preserve">Base damage, BP/stat exponents and global combat constants</x:t>
        </x:is>
      </x:c>
    </x:row>
    <x:row r="5">
      <x:c r="A5" s="5" t="inlineStr">
        <x:is>
          <x:t xml:space="preserve">src/Code/Combat/Melee.dm</x:t>
        </x:is>
      </x:c>
      <x:c r="B5" s="5" t="inlineStr">
        <x:is>
          <x:t xml:space="preserve">Melee damage, accuracy, crit, skill drain and incoming TakeDamage modifiers</x:t>
        </x:is>
      </x:c>
    </x:row>
    <x:row r="6">
      <x:c r="A6" s="5" t="inlineStr">
        <x:is>
          <x:t xml:space="preserve">src/Code/ProjectileSystem/Projectiles.dm</x:t>
        </x:is>
      </x:c>
      <x:c r="B6" s="5" t="inlineStr">
        <x:is>
          <x:t xml:space="preserve">Direct projectile, explosion, beam collision and shield formulas</x:t>
        </x:is>
      </x:c>
    </x:row>
    <x:row r="7">
      <x:c r="A7" s="5" t="inlineStr">
        <x:is>
          <x:t xml:space="preserve">src/Code/ProjectileSystem/BeamCore.dm</x:t>
        </x:is>
      </x:c>
      <x:c r="B7" s="5" t="inlineStr">
        <x:is>
          <x:t xml:space="preserve">Beam segment percent, range behavior and drain</x:t>
        </x:is>
      </x:c>
    </x:row>
    <x:row r="8">
      <x:c r="A8" s="5" t="inlineStr">
        <x:is>
          <x:t xml:space="preserve">src/Code/ProjectileSystem/Beams.dm</x:t>
        </x:is>
      </x:c>
      <x:c r="B8" s="5" t="inlineStr">
        <x:is>
          <x:t xml:space="preserve">Beam WaveMult, MoveDelay, range and deflection parameters</x:t>
        </x:is>
      </x:c>
    </x:row>
    <x:row r="9">
      <x:c r="A9" s="5" t="inlineStr">
        <x:is>
          <x:t xml:space="preserve">src/Code/ProjectileSystem/Blasts.dm</x:t>
        </x:is>
      </x:c>
      <x:c r="B9" s="5" t="inlineStr">
        <x:is>
          <x:t xml:space="preserve">Projectile skill parameters and normalized 0.5ds Ki cadence</x:t>
        </x:is>
      </x:c>
    </x:row>
    <x:row r="10">
      <x:c r="A10" s="5" t="inlineStr">
        <x:is>
          <x:t xml:space="preserve">src/Code/Application/Combat/SkillEngine.dm</x:t>
        </x:is>
      </x:c>
      <x:c r="B10" s="5" t="inlineStr">
        <x:is>
          <x:t xml:space="preserve">Current cast paths, projectile percentages and melee special routing</x:t>
        </x:is>
      </x:c>
    </x:row>
    <x:row r="11">
      <x:c r="A11" s="5" t="inlineStr">
        <x:is>
          <x:t xml:space="preserve">src/Code/Application/Combat/SkillControllers.dm</x:t>
        </x:is>
      </x:c>
      <x:c r="B11" s="5" t="inlineStr">
        <x:is>
          <x:t xml:space="preserve">Sokidan/Kienzan guided movement</x:t>
        </x:is>
      </x:c>
    </x:row>
    <x:row r="12">
      <x:c r="A12" s="5" t="inlineStr">
        <x:is>
          <x:t xml:space="preserve">src/Code/Combat/RockThrow.dm</x:t>
        </x:is>
      </x:c>
      <x:c r="B12" s="5" t="inlineStr">
        <x:is>
          <x:t xml:space="preserve">Rock skill damage, cost, cooldown and targeting</x:t>
        </x:is>
      </x:c>
    </x:row>
    <x:row r="13">
      <x:c r="A13" s="5" t="inlineStr">
        <x:is>
          <x:t xml:space="preserve">src/Code/Combat/HokutoShinken.dm</x:t>
        </x:is>
      </x:c>
      <x:c r="B13" s="5" t="inlineStr">
        <x:is>
          <x:t xml:space="preserve">Hundred Crack Fist hit count and per-hit multiplier</x:t>
        </x:is>
      </x:c>
    </x:row>
    <x:row r="14">
      <x:c r="A14" s="5" t="inlineStr">
        <x:is>
          <x:t xml:space="preserve">src/Code/BackgroundCode/StatLoop.dm</x:t>
        </x:is>
      </x:c>
      <x:c r="B14" s="5" t="inlineStr">
        <x:is>
          <x:t xml:space="preserve">get_bp ordering, powerup, anger, cyber and late multipliers</x:t>
        </x:is>
      </x:c>
    </x:row>
    <x:row r="15">
      <x:c r="A15" s="5" t="inlineStr">
        <x:is>
          <x:t xml:space="preserve">src/Code/Technology/Cybernetics.dm</x:t>
        </x:is>
      </x:c>
      <x:c r="B15" s="5" t="inlineStr">
        <x:is>
          <x:t xml:space="preserve">Module stat effects, Overdrive and cyber skill grants</x:t>
        </x:is>
      </x:c>
    </x:row>
    <x:row r="16">
      <x:c r="A16" s="5" t="inlineStr">
        <x:is>
          <x:t xml:space="preserve">src/Code/CharacterCreation/NexusCharacterCreation.dm</x:t>
        </x:is>
      </x:c>
      <x:c r="B16" s="5" t="inlineStr">
        <x:is>
          <x:t xml:space="preserve">Race creation budgets and presets</x:t>
        </x:is>
      </x:c>
    </x:row>
    <x:row r="17">
      <x:c r="A17" s="5" t="inlineStr">
        <x:is>
          <x:t xml:space="preserve">src/Code/CoreFunctions/StatPoints.dm</x:t>
        </x:is>
      </x:c>
      <x:c r="B17" s="5" t="inlineStr">
        <x:is>
          <x:t xml:space="preserve">Race caps and additional profile data</x:t>
        </x:is>
      </x:c>
    </x:row>
    <x:row r="18">
      <x:c r="A18" s="5" t="inlineStr">
        <x:is>
          <x:t xml:space="preserve">src/Code/PlayerMechanics/Ascension.dm</x:t>
        </x:is>
      </x:c>
      <x:c r="B18" s="5" t="inlineStr">
        <x:is>
          <x:t xml:space="preserve">SSJ, USSJ, Third Eye and Frost form effects</x:t>
        </x:is>
      </x:c>
    </x:row>
    <x:row r="19">
      <x:c r="A19" s="5" t="inlineStr">
        <x:is>
          <x:t xml:space="preserve">src/Code/PlayerMechanics/GodKi.dm</x:t>
        </x:is>
      </x:c>
      <x:c r="B19" s="5" t="inlineStr">
        <x:is>
          <x:t xml:space="preserve">God BP formula and mastery scaling</x:t>
        </x:is>
      </x:c>
    </x:row>
    <x:row r="20">
      <x:c r="A20" s="5" t="inlineStr">
        <x:is>
          <x:t xml:space="preserve">src/Code/Races/UltraInstinct.dm</x:t>
        </x:is>
      </x:c>
      <x:c r="B20" s="5" t="inlineStr">
        <x:is>
          <x:t xml:space="preserve">Ultra Instinct BP/stat/cost effects</x:t>
        </x:is>
      </x:c>
    </x:row>
    <x:row r="21">
      <x:c r="A21" s="5" t="inlineStr">
        <x:is>
          <x:t xml:space="preserve">src/Code/Combat/KiSkills</x:t>
        </x:is>
      </x:c>
      <x:c r="B21" s="5" t="inlineStr">
        <x:is>
          <x:t xml:space="preserve">Spirit Bomb family, Kikoho, Final Explosion and Hakai custom formulas</x:t>
        </x:is>
      </x:c>
    </x:row>
  </x:sheetData>
  <x:pageMargins left="0.7" right="0.7" top="0.75" bottom="0.75" header="0.3" footer="0.3"/>
</x:worksheet>
</file>